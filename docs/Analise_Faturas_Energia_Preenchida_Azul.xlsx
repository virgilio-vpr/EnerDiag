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rgi\Downloads\"/>
    </mc:Choice>
  </mc:AlternateContent>
  <xr:revisionPtr revIDLastSave="0" documentId="13_ncr:1_{154B5879-2E0E-46D5-BFAE-B3D0D5171E9C}" xr6:coauthVersionLast="47" xr6:coauthVersionMax="47" xr10:uidLastSave="{00000000-0000-0000-0000-000000000000}"/>
  <bookViews>
    <workbookView xWindow="-120" yWindow="-120" windowWidth="38640" windowHeight="15840" tabRatio="500" activeTab="2" xr2:uid="{00000000-000D-0000-FFFF-FFFF00000000}"/>
  </bookViews>
  <sheets>
    <sheet name="Demanda_Ponta" sheetId="1" r:id="rId1"/>
    <sheet name="Simul_Ponta" sheetId="2" r:id="rId2"/>
    <sheet name="Demanda_F_Ponta" sheetId="3" r:id="rId3"/>
    <sheet name="Simul_F_Ponta" sheetId="4" r:id="rId4"/>
    <sheet name="Dem_ Reativas e UFER" sheetId="5" r:id="rId5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4" i="3" l="1"/>
  <c r="J25" i="3"/>
  <c r="J26" i="3"/>
  <c r="J27" i="3"/>
  <c r="J28" i="3"/>
  <c r="J29" i="3"/>
  <c r="J30" i="3"/>
  <c r="J31" i="3"/>
  <c r="J32" i="3"/>
  <c r="J33" i="3"/>
  <c r="J34" i="3"/>
  <c r="J23" i="3"/>
  <c r="J8" i="3"/>
  <c r="J9" i="3"/>
  <c r="J10" i="3"/>
  <c r="J11" i="3"/>
  <c r="J12" i="3"/>
  <c r="J13" i="3"/>
  <c r="J14" i="3"/>
  <c r="J15" i="3"/>
  <c r="J16" i="3"/>
  <c r="J17" i="3"/>
  <c r="J18" i="3"/>
  <c r="J7" i="3"/>
  <c r="J24" i="1"/>
  <c r="J25" i="1"/>
  <c r="J26" i="1"/>
  <c r="J27" i="1"/>
  <c r="J28" i="1"/>
  <c r="J29" i="1"/>
  <c r="J30" i="1"/>
  <c r="J31" i="1"/>
  <c r="J32" i="1"/>
  <c r="J33" i="1"/>
  <c r="J34" i="1"/>
  <c r="J23" i="1"/>
  <c r="J8" i="1"/>
  <c r="J9" i="1"/>
  <c r="J10" i="1"/>
  <c r="J11" i="1"/>
  <c r="J12" i="1"/>
  <c r="J13" i="1"/>
  <c r="J14" i="1"/>
  <c r="J15" i="1"/>
  <c r="J16" i="1"/>
  <c r="J17" i="1"/>
  <c r="J18" i="1"/>
  <c r="J7" i="1"/>
  <c r="B8" i="3"/>
  <c r="B24" i="3" s="1"/>
  <c r="B9" i="3"/>
  <c r="B25" i="3" s="1"/>
  <c r="B10" i="3"/>
  <c r="B26" i="3" s="1"/>
  <c r="B11" i="3"/>
  <c r="B27" i="3" s="1"/>
  <c r="B12" i="3"/>
  <c r="B28" i="3" s="1"/>
  <c r="B13" i="3"/>
  <c r="B29" i="3" s="1"/>
  <c r="B14" i="3"/>
  <c r="B30" i="3" s="1"/>
  <c r="B15" i="3"/>
  <c r="B31" i="3" s="1"/>
  <c r="B16" i="3"/>
  <c r="B32" i="3" s="1"/>
  <c r="B17" i="3"/>
  <c r="B33" i="3" s="1"/>
  <c r="B18" i="3"/>
  <c r="B34" i="3" s="1"/>
  <c r="B7" i="3"/>
  <c r="B23" i="3" s="1"/>
  <c r="L3" i="3"/>
  <c r="F6" i="4" s="1"/>
  <c r="K3" i="3"/>
  <c r="E6" i="4" s="1"/>
  <c r="I3" i="3"/>
  <c r="C6" i="4" s="1"/>
  <c r="B7" i="5"/>
  <c r="B8" i="5"/>
  <c r="B9" i="5"/>
  <c r="B10" i="5"/>
  <c r="B11" i="5"/>
  <c r="B12" i="5"/>
  <c r="B13" i="5"/>
  <c r="B14" i="5"/>
  <c r="B15" i="5"/>
  <c r="B16" i="5"/>
  <c r="B17" i="5"/>
  <c r="B6" i="5"/>
  <c r="R3" i="5"/>
  <c r="Q3" i="5"/>
  <c r="O3" i="5"/>
  <c r="L18" i="5"/>
  <c r="M18" i="5"/>
  <c r="G7" i="5"/>
  <c r="G8" i="5"/>
  <c r="G9" i="5"/>
  <c r="G10" i="5"/>
  <c r="G11" i="5"/>
  <c r="G12" i="5"/>
  <c r="G13" i="5"/>
  <c r="G14" i="5"/>
  <c r="G15" i="5"/>
  <c r="G16" i="5"/>
  <c r="G17" i="5"/>
  <c r="G6" i="5"/>
  <c r="H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6" i="5"/>
  <c r="E6" i="5" s="1"/>
  <c r="E25" i="3"/>
  <c r="E23" i="3"/>
  <c r="B24" i="1"/>
  <c r="B25" i="1"/>
  <c r="B26" i="1"/>
  <c r="B27" i="1"/>
  <c r="B28" i="1"/>
  <c r="B29" i="1"/>
  <c r="B30" i="1"/>
  <c r="B31" i="1"/>
  <c r="B32" i="1"/>
  <c r="B33" i="1"/>
  <c r="B34" i="1"/>
  <c r="B23" i="1"/>
  <c r="E23" i="1"/>
  <c r="G26" i="1"/>
  <c r="G27" i="1"/>
  <c r="G28" i="1"/>
  <c r="G29" i="1"/>
  <c r="G30" i="1"/>
  <c r="G31" i="1"/>
  <c r="G32" i="1"/>
  <c r="G33" i="1"/>
  <c r="G34" i="1"/>
  <c r="G23" i="1"/>
  <c r="N17" i="5"/>
  <c r="Q17" i="5"/>
  <c r="N16" i="5"/>
  <c r="Q16" i="5"/>
  <c r="N15" i="5"/>
  <c r="Q15" i="5"/>
  <c r="N14" i="5"/>
  <c r="Q14" i="5"/>
  <c r="N13" i="5"/>
  <c r="Q13" i="5"/>
  <c r="N12" i="5"/>
  <c r="Q12" i="5"/>
  <c r="N11" i="5"/>
  <c r="Q11" i="5"/>
  <c r="N10" i="5"/>
  <c r="Q10" i="5"/>
  <c r="N9" i="5"/>
  <c r="Q9" i="5"/>
  <c r="N8" i="5"/>
  <c r="Q8" i="5"/>
  <c r="N7" i="5"/>
  <c r="Q7" i="5"/>
  <c r="N6" i="5"/>
  <c r="Q6" i="5"/>
  <c r="B13" i="4"/>
  <c r="C8" i="3" s="1"/>
  <c r="F6" i="2"/>
  <c r="E6" i="2"/>
  <c r="C6" i="2"/>
  <c r="G24" i="3"/>
  <c r="G25" i="3"/>
  <c r="G26" i="3"/>
  <c r="G27" i="3"/>
  <c r="G28" i="3"/>
  <c r="G29" i="3"/>
  <c r="G30" i="3"/>
  <c r="G31" i="3"/>
  <c r="G32" i="3"/>
  <c r="G33" i="3"/>
  <c r="G34" i="3"/>
  <c r="G23" i="3"/>
  <c r="E24" i="3"/>
  <c r="H24" i="3" s="1"/>
  <c r="E26" i="3"/>
  <c r="E27" i="3"/>
  <c r="H27" i="3" s="1"/>
  <c r="E28" i="3"/>
  <c r="E29" i="3"/>
  <c r="H29" i="3" s="1"/>
  <c r="E30" i="3"/>
  <c r="E31" i="3"/>
  <c r="H31" i="3" s="1"/>
  <c r="E32" i="3"/>
  <c r="H32" i="3" s="1"/>
  <c r="E33" i="3"/>
  <c r="H33" i="3" s="1"/>
  <c r="E34" i="3"/>
  <c r="H34" i="3" s="1"/>
  <c r="C24" i="3"/>
  <c r="C25" i="3"/>
  <c r="C26" i="3"/>
  <c r="C27" i="3"/>
  <c r="D27" i="3" s="1"/>
  <c r="C28" i="3"/>
  <c r="L28" i="3" s="1"/>
  <c r="C29" i="3"/>
  <c r="L29" i="3" s="1"/>
  <c r="C30" i="3"/>
  <c r="D30" i="3" s="1"/>
  <c r="F30" i="3" s="1"/>
  <c r="C31" i="3"/>
  <c r="D31" i="3" s="1"/>
  <c r="C32" i="3"/>
  <c r="L32" i="3" s="1"/>
  <c r="C33" i="3"/>
  <c r="D33" i="3" s="1"/>
  <c r="C34" i="3"/>
  <c r="L34" i="3" s="1"/>
  <c r="C23" i="3"/>
  <c r="D23" i="3" s="1"/>
  <c r="L23" i="3"/>
  <c r="B13" i="2"/>
  <c r="C7" i="1" s="1"/>
  <c r="G24" i="1"/>
  <c r="G25" i="1"/>
  <c r="E24" i="1"/>
  <c r="E25" i="1"/>
  <c r="E26" i="1"/>
  <c r="E27" i="1"/>
  <c r="E28" i="1"/>
  <c r="E29" i="1"/>
  <c r="E30" i="1"/>
  <c r="E31" i="1"/>
  <c r="E32" i="1"/>
  <c r="E33" i="1"/>
  <c r="E34" i="1"/>
  <c r="M29" i="3"/>
  <c r="M23" i="3"/>
  <c r="H23" i="3"/>
  <c r="M18" i="3"/>
  <c r="H18" i="3"/>
  <c r="M17" i="3"/>
  <c r="H17" i="3"/>
  <c r="M16" i="3"/>
  <c r="H16" i="3"/>
  <c r="M15" i="3"/>
  <c r="H15" i="3"/>
  <c r="M14" i="3"/>
  <c r="H14" i="3"/>
  <c r="M13" i="3"/>
  <c r="H13" i="3"/>
  <c r="M12" i="3"/>
  <c r="H12" i="3"/>
  <c r="M11" i="3"/>
  <c r="H11" i="3"/>
  <c r="M10" i="3"/>
  <c r="H10" i="3"/>
  <c r="M9" i="3"/>
  <c r="H9" i="3"/>
  <c r="M8" i="3"/>
  <c r="H8" i="3"/>
  <c r="M7" i="3"/>
  <c r="H7" i="3"/>
  <c r="M24" i="3" l="1"/>
  <c r="M25" i="3"/>
  <c r="M26" i="3"/>
  <c r="M28" i="3"/>
  <c r="M30" i="3"/>
  <c r="M31" i="3"/>
  <c r="M32" i="3"/>
  <c r="M34" i="3"/>
  <c r="E18" i="5"/>
  <c r="J7" i="5"/>
  <c r="K7" i="5" s="1"/>
  <c r="H7" i="5"/>
  <c r="R7" i="5" s="1"/>
  <c r="J8" i="5"/>
  <c r="K8" i="5" s="1"/>
  <c r="H8" i="5"/>
  <c r="R8" i="5" s="1"/>
  <c r="J9" i="5"/>
  <c r="K9" i="5" s="1"/>
  <c r="H9" i="5"/>
  <c r="R9" i="5" s="1"/>
  <c r="J10" i="5"/>
  <c r="K10" i="5" s="1"/>
  <c r="H10" i="5"/>
  <c r="R10" i="5" s="1"/>
  <c r="J11" i="5"/>
  <c r="K11" i="5" s="1"/>
  <c r="H11" i="5"/>
  <c r="R11" i="5" s="1"/>
  <c r="J12" i="5"/>
  <c r="K12" i="5" s="1"/>
  <c r="H12" i="5"/>
  <c r="R12" i="5" s="1"/>
  <c r="J13" i="5"/>
  <c r="K13" i="5" s="1"/>
  <c r="H13" i="5"/>
  <c r="R13" i="5" s="1"/>
  <c r="J14" i="5"/>
  <c r="K14" i="5" s="1"/>
  <c r="H14" i="5"/>
  <c r="R14" i="5" s="1"/>
  <c r="J15" i="5"/>
  <c r="K15" i="5" s="1"/>
  <c r="H15" i="5"/>
  <c r="R15" i="5" s="1"/>
  <c r="J16" i="5"/>
  <c r="K16" i="5" s="1"/>
  <c r="H16" i="5"/>
  <c r="R16" i="5" s="1"/>
  <c r="J17" i="5"/>
  <c r="K17" i="5" s="1"/>
  <c r="H17" i="5"/>
  <c r="R17" i="5" s="1"/>
  <c r="J6" i="5"/>
  <c r="K6" i="5" s="1"/>
  <c r="R6" i="5" s="1"/>
  <c r="N18" i="5"/>
  <c r="Q18" i="5"/>
  <c r="M27" i="3"/>
  <c r="N29" i="3"/>
  <c r="M33" i="3"/>
  <c r="L25" i="3"/>
  <c r="N25" i="3" s="1"/>
  <c r="N34" i="3"/>
  <c r="H30" i="3"/>
  <c r="H26" i="3"/>
  <c r="D29" i="3"/>
  <c r="F29" i="3" s="1"/>
  <c r="C7" i="3"/>
  <c r="C18" i="3"/>
  <c r="C17" i="3"/>
  <c r="C16" i="3"/>
  <c r="C15" i="3"/>
  <c r="C14" i="3"/>
  <c r="C13" i="3"/>
  <c r="C12" i="3"/>
  <c r="L31" i="3"/>
  <c r="N31" i="3" s="1"/>
  <c r="C11" i="3"/>
  <c r="C10" i="3"/>
  <c r="D32" i="3"/>
  <c r="I32" i="3" s="1"/>
  <c r="L30" i="3"/>
  <c r="N30" i="3" s="1"/>
  <c r="C9" i="3"/>
  <c r="L33" i="3"/>
  <c r="N28" i="3"/>
  <c r="H28" i="3"/>
  <c r="H25" i="3"/>
  <c r="N32" i="3"/>
  <c r="N23" i="3"/>
  <c r="L27" i="3"/>
  <c r="F27" i="3"/>
  <c r="L24" i="3"/>
  <c r="N24" i="3" s="1"/>
  <c r="I27" i="3"/>
  <c r="K27" i="3" s="1"/>
  <c r="D28" i="3"/>
  <c r="L26" i="3"/>
  <c r="N26" i="3" s="1"/>
  <c r="D26" i="3"/>
  <c r="I31" i="3"/>
  <c r="F31" i="3"/>
  <c r="D34" i="3"/>
  <c r="D25" i="3"/>
  <c r="I33" i="3"/>
  <c r="K33" i="3" s="1"/>
  <c r="F33" i="3"/>
  <c r="D24" i="3"/>
  <c r="I30" i="3"/>
  <c r="K31" i="3" l="1"/>
  <c r="K30" i="3"/>
  <c r="K18" i="5"/>
  <c r="R18" i="5"/>
  <c r="H18" i="5"/>
  <c r="N33" i="3"/>
  <c r="O33" i="3" s="1"/>
  <c r="N27" i="3"/>
  <c r="K32" i="3"/>
  <c r="O32" i="3" s="1"/>
  <c r="I29" i="3"/>
  <c r="K29" i="3" s="1"/>
  <c r="O29" i="3" s="1"/>
  <c r="O27" i="3"/>
  <c r="F32" i="3"/>
  <c r="O31" i="3"/>
  <c r="O30" i="3"/>
  <c r="I28" i="3"/>
  <c r="K28" i="3" s="1"/>
  <c r="O28" i="3" s="1"/>
  <c r="F28" i="3"/>
  <c r="I24" i="3"/>
  <c r="K24" i="3" s="1"/>
  <c r="O24" i="3" s="1"/>
  <c r="F24" i="3"/>
  <c r="I23" i="3"/>
  <c r="K23" i="3" s="1"/>
  <c r="O23" i="3" s="1"/>
  <c r="F23" i="3"/>
  <c r="I25" i="3"/>
  <c r="K25" i="3" s="1"/>
  <c r="O25" i="3" s="1"/>
  <c r="F25" i="3"/>
  <c r="I34" i="3"/>
  <c r="K34" i="3" s="1"/>
  <c r="O34" i="3" s="1"/>
  <c r="F34" i="3"/>
  <c r="I26" i="3"/>
  <c r="K26" i="3" s="1"/>
  <c r="O26" i="3" s="1"/>
  <c r="F26" i="3"/>
  <c r="O35" i="3" l="1"/>
  <c r="B35" i="4" s="1"/>
  <c r="M25" i="1"/>
  <c r="M26" i="1"/>
  <c r="H23" i="1"/>
  <c r="M31" i="1"/>
  <c r="H32" i="1"/>
  <c r="M24" i="1"/>
  <c r="C24" i="1"/>
  <c r="D24" i="1" s="1"/>
  <c r="I24" i="1" s="1"/>
  <c r="C25" i="1"/>
  <c r="D25" i="1" s="1"/>
  <c r="I25" i="1" s="1"/>
  <c r="C26" i="1"/>
  <c r="L26" i="1" s="1"/>
  <c r="C27" i="1"/>
  <c r="D27" i="1" s="1"/>
  <c r="I27" i="1" s="1"/>
  <c r="C28" i="1"/>
  <c r="L28" i="1" s="1"/>
  <c r="C29" i="1"/>
  <c r="L29" i="1" s="1"/>
  <c r="C30" i="1"/>
  <c r="L30" i="1" s="1"/>
  <c r="C31" i="1"/>
  <c r="D31" i="1" s="1"/>
  <c r="I31" i="1" s="1"/>
  <c r="C32" i="1"/>
  <c r="L32" i="1" s="1"/>
  <c r="C33" i="1"/>
  <c r="D33" i="1" s="1"/>
  <c r="I33" i="1" s="1"/>
  <c r="C34" i="1"/>
  <c r="D34" i="1" s="1"/>
  <c r="I34" i="1" s="1"/>
  <c r="C23" i="1"/>
  <c r="L23" i="1" s="1"/>
  <c r="C16" i="1"/>
  <c r="C17" i="1"/>
  <c r="M30" i="1"/>
  <c r="H25" i="1"/>
  <c r="C14" i="1" l="1"/>
  <c r="H26" i="1"/>
  <c r="M27" i="1"/>
  <c r="H28" i="1"/>
  <c r="M28" i="1"/>
  <c r="N28" i="1" s="1"/>
  <c r="C15" i="1"/>
  <c r="C13" i="1"/>
  <c r="C12" i="1"/>
  <c r="C11" i="1"/>
  <c r="C10" i="1"/>
  <c r="C9" i="1"/>
  <c r="C8" i="1"/>
  <c r="C18" i="1"/>
  <c r="H31" i="1"/>
  <c r="K31" i="1"/>
  <c r="H27" i="1"/>
  <c r="H33" i="1"/>
  <c r="M32" i="1"/>
  <c r="N32" i="1" s="1"/>
  <c r="M33" i="1"/>
  <c r="K27" i="1"/>
  <c r="H24" i="1"/>
  <c r="K24" i="1"/>
  <c r="N30" i="1"/>
  <c r="H30" i="1"/>
  <c r="K33" i="1"/>
  <c r="K25" i="1"/>
  <c r="M23" i="1"/>
  <c r="N23" i="1" s="1"/>
  <c r="F34" i="1"/>
  <c r="F33" i="1"/>
  <c r="F31" i="1"/>
  <c r="F27" i="1"/>
  <c r="F25" i="1"/>
  <c r="F24" i="1"/>
  <c r="L24" i="1"/>
  <c r="N24" i="1" s="1"/>
  <c r="N26" i="1"/>
  <c r="D23" i="1"/>
  <c r="D30" i="1"/>
  <c r="L25" i="1"/>
  <c r="N25" i="1" s="1"/>
  <c r="D29" i="1"/>
  <c r="L31" i="1"/>
  <c r="N31" i="1" s="1"/>
  <c r="D26" i="1"/>
  <c r="D32" i="1"/>
  <c r="L34" i="1"/>
  <c r="L27" i="1"/>
  <c r="L33" i="1"/>
  <c r="D28" i="1"/>
  <c r="D14" i="3" l="1"/>
  <c r="L14" i="3"/>
  <c r="N14" i="3" s="1"/>
  <c r="L18" i="3"/>
  <c r="N18" i="3" s="1"/>
  <c r="D18" i="3"/>
  <c r="D7" i="3"/>
  <c r="I7" i="3" s="1"/>
  <c r="L7" i="3"/>
  <c r="N7" i="3" s="1"/>
  <c r="D17" i="3"/>
  <c r="L17" i="3"/>
  <c r="N17" i="3" s="1"/>
  <c r="L11" i="3"/>
  <c r="N11" i="3" s="1"/>
  <c r="D11" i="3"/>
  <c r="D13" i="3"/>
  <c r="L13" i="3"/>
  <c r="N13" i="3" s="1"/>
  <c r="D16" i="3"/>
  <c r="L16" i="3"/>
  <c r="N16" i="3" s="1"/>
  <c r="L9" i="3"/>
  <c r="N9" i="3" s="1"/>
  <c r="D9" i="3"/>
  <c r="L8" i="3"/>
  <c r="N8" i="3" s="1"/>
  <c r="D8" i="3"/>
  <c r="L10" i="3"/>
  <c r="N10" i="3" s="1"/>
  <c r="D10" i="3"/>
  <c r="D15" i="3"/>
  <c r="L15" i="3"/>
  <c r="N15" i="3" s="1"/>
  <c r="D12" i="3"/>
  <c r="L12" i="3"/>
  <c r="N12" i="3" s="1"/>
  <c r="N27" i="1"/>
  <c r="O27" i="1" s="1"/>
  <c r="O31" i="1"/>
  <c r="O25" i="1"/>
  <c r="N33" i="1"/>
  <c r="O33" i="1" s="1"/>
  <c r="M29" i="1"/>
  <c r="N29" i="1" s="1"/>
  <c r="H29" i="1"/>
  <c r="O24" i="1"/>
  <c r="I30" i="1"/>
  <c r="K30" i="1" s="1"/>
  <c r="O30" i="1" s="1"/>
  <c r="F30" i="1"/>
  <c r="I23" i="1"/>
  <c r="K23" i="1" s="1"/>
  <c r="O23" i="1" s="1"/>
  <c r="F23" i="1"/>
  <c r="I28" i="1"/>
  <c r="K28" i="1" s="1"/>
  <c r="O28" i="1" s="1"/>
  <c r="F28" i="1"/>
  <c r="I32" i="1"/>
  <c r="K32" i="1" s="1"/>
  <c r="O32" i="1" s="1"/>
  <c r="F32" i="1"/>
  <c r="I26" i="1"/>
  <c r="K26" i="1" s="1"/>
  <c r="O26" i="1" s="1"/>
  <c r="F26" i="1"/>
  <c r="I29" i="1"/>
  <c r="F29" i="1"/>
  <c r="I13" i="3" l="1"/>
  <c r="K13" i="3" s="1"/>
  <c r="O13" i="3" s="1"/>
  <c r="F13" i="3"/>
  <c r="I11" i="3"/>
  <c r="K11" i="3" s="1"/>
  <c r="O11" i="3" s="1"/>
  <c r="F11" i="3"/>
  <c r="F16" i="3"/>
  <c r="I16" i="3"/>
  <c r="K16" i="3" s="1"/>
  <c r="O16" i="3" s="1"/>
  <c r="I12" i="3"/>
  <c r="K12" i="3" s="1"/>
  <c r="O12" i="3" s="1"/>
  <c r="F12" i="3"/>
  <c r="F15" i="3"/>
  <c r="I15" i="3"/>
  <c r="K15" i="3" s="1"/>
  <c r="O15" i="3" s="1"/>
  <c r="I17" i="3"/>
  <c r="K17" i="3" s="1"/>
  <c r="O17" i="3" s="1"/>
  <c r="F17" i="3"/>
  <c r="I14" i="3"/>
  <c r="K14" i="3" s="1"/>
  <c r="O14" i="3" s="1"/>
  <c r="F14" i="3"/>
  <c r="K7" i="3"/>
  <c r="O7" i="3" s="1"/>
  <c r="F7" i="3"/>
  <c r="I9" i="3"/>
  <c r="K9" i="3" s="1"/>
  <c r="O9" i="3" s="1"/>
  <c r="F9" i="3"/>
  <c r="F18" i="3"/>
  <c r="I18" i="3"/>
  <c r="K18" i="3" s="1"/>
  <c r="O18" i="3" s="1"/>
  <c r="I10" i="3"/>
  <c r="K10" i="3" s="1"/>
  <c r="O10" i="3" s="1"/>
  <c r="F10" i="3"/>
  <c r="I8" i="3"/>
  <c r="K8" i="3" s="1"/>
  <c r="O8" i="3" s="1"/>
  <c r="F8" i="3"/>
  <c r="K29" i="1"/>
  <c r="O29" i="1" s="1"/>
  <c r="K34" i="1"/>
  <c r="M34" i="1"/>
  <c r="N34" i="1" s="1"/>
  <c r="H34" i="1"/>
  <c r="O19" i="3" l="1"/>
  <c r="B20" i="4" s="1"/>
  <c r="B42" i="4" s="1"/>
  <c r="O34" i="1"/>
  <c r="O35" i="1" s="1"/>
  <c r="B35" i="2" l="1"/>
  <c r="D8" i="1" l="1"/>
  <c r="F8" i="1" s="1"/>
  <c r="D9" i="1"/>
  <c r="F9" i="1" s="1"/>
  <c r="D10" i="1"/>
  <c r="F10" i="1" s="1"/>
  <c r="D11" i="1"/>
  <c r="F11" i="1" s="1"/>
  <c r="D12" i="1"/>
  <c r="L13" i="1"/>
  <c r="L14" i="1"/>
  <c r="L15" i="1"/>
  <c r="D16" i="1"/>
  <c r="D17" i="1"/>
  <c r="D18" i="1"/>
  <c r="D7" i="1"/>
  <c r="F7" i="1" s="1"/>
  <c r="I18" i="1" l="1"/>
  <c r="K18" i="1" s="1"/>
  <c r="F18" i="1"/>
  <c r="I17" i="1"/>
  <c r="K17" i="1" s="1"/>
  <c r="F17" i="1"/>
  <c r="I16" i="1"/>
  <c r="K16" i="1" s="1"/>
  <c r="F16" i="1"/>
  <c r="I12" i="1"/>
  <c r="K12" i="1" s="1"/>
  <c r="F12" i="1"/>
  <c r="L8" i="1"/>
  <c r="D15" i="1"/>
  <c r="D14" i="1"/>
  <c r="D13" i="1"/>
  <c r="L7" i="1"/>
  <c r="L18" i="1"/>
  <c r="L17" i="1"/>
  <c r="L16" i="1"/>
  <c r="L12" i="1"/>
  <c r="L11" i="1"/>
  <c r="L10" i="1"/>
  <c r="L9" i="1"/>
  <c r="I10" i="1"/>
  <c r="K10" i="1" s="1"/>
  <c r="I9" i="1"/>
  <c r="K9" i="1" s="1"/>
  <c r="I8" i="1"/>
  <c r="K8" i="1" s="1"/>
  <c r="I11" i="1"/>
  <c r="K11" i="1" s="1"/>
  <c r="I7" i="1"/>
  <c r="K7" i="1" s="1"/>
  <c r="I15" i="1" l="1"/>
  <c r="K15" i="1" s="1"/>
  <c r="F15" i="1"/>
  <c r="I13" i="1"/>
  <c r="K13" i="1" s="1"/>
  <c r="F13" i="1"/>
  <c r="I14" i="1"/>
  <c r="K14" i="1" s="1"/>
  <c r="F14" i="1"/>
  <c r="M18" i="1"/>
  <c r="N18" i="1" s="1"/>
  <c r="H18" i="1"/>
  <c r="M17" i="1"/>
  <c r="H17" i="1"/>
  <c r="M16" i="1"/>
  <c r="N16" i="1" s="1"/>
  <c r="H16" i="1"/>
  <c r="M15" i="1"/>
  <c r="N15" i="1" s="1"/>
  <c r="H15" i="1"/>
  <c r="M14" i="1"/>
  <c r="H14" i="1"/>
  <c r="M13" i="1"/>
  <c r="N13" i="1" s="1"/>
  <c r="H13" i="1"/>
  <c r="M12" i="1"/>
  <c r="N12" i="1" s="1"/>
  <c r="H12" i="1"/>
  <c r="M11" i="1"/>
  <c r="H11" i="1"/>
  <c r="M10" i="1"/>
  <c r="N10" i="1" s="1"/>
  <c r="H10" i="1"/>
  <c r="M9" i="1"/>
  <c r="N9" i="1" s="1"/>
  <c r="H9" i="1"/>
  <c r="M8" i="1"/>
  <c r="H8" i="1"/>
  <c r="M7" i="1"/>
  <c r="N7" i="1" s="1"/>
  <c r="H7" i="1"/>
  <c r="O9" i="1" l="1"/>
  <c r="O18" i="1"/>
  <c r="O15" i="1"/>
  <c r="O12" i="1"/>
  <c r="O7" i="1"/>
  <c r="O10" i="1"/>
  <c r="O13" i="1"/>
  <c r="O16" i="1"/>
  <c r="N17" i="1"/>
  <c r="O17" i="1" s="1"/>
  <c r="N11" i="1"/>
  <c r="O11" i="1" s="1"/>
  <c r="N14" i="1"/>
  <c r="O14" i="1" s="1"/>
  <c r="N8" i="1"/>
  <c r="O8" i="1" s="1"/>
  <c r="O19" i="1" l="1"/>
  <c r="B20" i="2" l="1"/>
  <c r="B42" i="2" s="1"/>
  <c r="H3" i="1"/>
  <c r="B6" i="2" l="1"/>
  <c r="H3" i="3"/>
  <c r="B6" i="4" s="1"/>
  <c r="N3" i="5"/>
</calcChain>
</file>

<file path=xl/sharedStrings.xml><?xml version="1.0" encoding="utf-8"?>
<sst xmlns="http://schemas.openxmlformats.org/spreadsheetml/2006/main" count="124" uniqueCount="64">
  <si>
    <t>Dem. Contr.
Ponta (kW)</t>
  </si>
  <si>
    <t>Dem. Medida
Ponta (kW)</t>
  </si>
  <si>
    <t>Tarifa Dem.
Ponta (R$/kW)</t>
  </si>
  <si>
    <t>Total Dem.
Ponta (R$)</t>
  </si>
  <si>
    <t>Dem. S/ ICMS P. (kW)</t>
  </si>
  <si>
    <t>Tar. S/ ICMS P. (R$/kW)</t>
  </si>
  <si>
    <t>Total S/
ICMS P. (R$)</t>
  </si>
  <si>
    <t>Tarifa UFER FP TE (R$/kW)</t>
  </si>
  <si>
    <t>Total UFER FP TE (R$)</t>
  </si>
  <si>
    <t>Tarifa UFER Ponta (R$/kW)</t>
  </si>
  <si>
    <t>Total UFER Ponta (R$)</t>
  </si>
  <si>
    <t>UFER
FP TE (kW)</t>
  </si>
  <si>
    <t>UFER
Ponta TE (kW)</t>
  </si>
  <si>
    <t>Dem. Contr.
Ponta + 5 %</t>
  </si>
  <si>
    <t>Tarifa Dem. Ponta Ultrap. (kw/R$)</t>
  </si>
  <si>
    <t>Total Dem. Ponta Ultrap. (R$)</t>
  </si>
  <si>
    <t>Dem. Ponta Ultrap.
(kw)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</si>
  <si>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</si>
  <si>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</si>
  <si>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</si>
  <si>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</si>
  <si>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</si>
  <si>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</si>
  <si>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</si>
  <si>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</si>
  <si>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</si>
  <si>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</si>
  <si>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</si>
  <si>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</si>
  <si>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Mês</t>
  </si>
  <si>
    <t>Total Geral</t>
  </si>
  <si>
    <t>Unidade Consumidora: MTE0012654 |
Subgrupo A4 / Azul | Histórico Anual de Faturamento Real</t>
  </si>
  <si>
    <t>FP =</t>
  </si>
  <si>
    <t>Ponta =</t>
  </si>
  <si>
    <t>Dem. Ponta p/ gráfico</t>
  </si>
  <si>
    <t>TABELA SIMULADA DA DEMANDA DE PONTA</t>
  </si>
  <si>
    <t>TABELA DA DEMANDA DE PONTA</t>
  </si>
  <si>
    <t>DEMANDA DE PONTA CONTRATADA</t>
  </si>
  <si>
    <t>CUSTO NO PERÍODO 12 MESES</t>
  </si>
  <si>
    <t>TABELA DE SIMULAÇÃO DE VALORES DE DEMANDA NA PONTA</t>
  </si>
  <si>
    <t>TABELA DE SIMULAÇÃO DE VALORES DE DEMANDA FORA DE PONTA</t>
  </si>
  <si>
    <t>TABELA SIMULADA DA DEMANDA FORA DE PONTA</t>
  </si>
  <si>
    <t>TABELA DA DEMANDA FORA DE PONTA</t>
  </si>
  <si>
    <t>Total Demanda Ponta (R$)</t>
  </si>
  <si>
    <t>VALOR DA ECONOMIA</t>
  </si>
  <si>
    <t>PERÍODO ANALISADO</t>
  </si>
  <si>
    <t xml:space="preserve">Período: </t>
  </si>
  <si>
    <t>até</t>
  </si>
  <si>
    <r>
      <rPr>
        <b/>
        <sz val="16"/>
        <color theme="1" tint="0.34998626667073579"/>
        <rFont val="Calibri"/>
        <family val="2"/>
      </rPr>
      <t>DEMANDA DE F. PONTA SIMULADA</t>
    </r>
    <r>
      <rPr>
        <b/>
        <sz val="14"/>
        <color theme="1"/>
        <rFont val="Calibri"/>
        <family val="2"/>
      </rPr>
      <t xml:space="preserve">
</t>
    </r>
    <r>
      <rPr>
        <b/>
        <i/>
        <sz val="11"/>
        <color theme="0" tint="-0.499984740745262"/>
        <rFont val="Calibri"/>
        <family val="2"/>
      </rPr>
      <t>Ajuste o valor aqui</t>
    </r>
  </si>
  <si>
    <r>
      <rPr>
        <b/>
        <sz val="16"/>
        <color theme="1" tint="0.34998626667073579"/>
        <rFont val="Calibri"/>
        <family val="2"/>
      </rPr>
      <t>DEMANDA DE PONTA SIMULADA</t>
    </r>
    <r>
      <rPr>
        <b/>
        <sz val="14"/>
        <color theme="1"/>
        <rFont val="Calibri"/>
        <family val="2"/>
      </rPr>
      <t xml:space="preserve">
</t>
    </r>
    <r>
      <rPr>
        <b/>
        <i/>
        <sz val="11"/>
        <color theme="0" tint="-0.499984740745262"/>
        <rFont val="Calibri"/>
        <family val="2"/>
      </rPr>
      <t>Ajuste o valor aqui</t>
    </r>
  </si>
  <si>
    <t>TABELA DE DADOS PARA SIMULAÇÃO DE DEMANDA DE PONTA</t>
  </si>
  <si>
    <t>TABELA DE DADOS PARA SIMULAÇÃO DE DEMANDA FORA DE PONTA</t>
  </si>
  <si>
    <t>Unidade Consumidora: MTE0012654
Subgrupo A4 / Azul</t>
  </si>
  <si>
    <t>TABELA DE REATIVO</t>
  </si>
  <si>
    <t xml:space="preserve"> Dem. Reat. Exced. Ponta Ind.</t>
  </si>
  <si>
    <t xml:space="preserve"> Dem. Reat. Exced.
FP Ind.</t>
  </si>
  <si>
    <t xml:space="preserve"> Dem. Reat. Exced.
FP Cap.</t>
  </si>
  <si>
    <t xml:space="preserve"> Tarifa Dem. Reat. Exced. Ponta Ind.</t>
  </si>
  <si>
    <t xml:space="preserve"> Tarifa Dem. Reat. Exced.
FP Ind.</t>
  </si>
  <si>
    <t xml:space="preserve"> Tarifa Dem. Reat. Exced.
FP Cap.</t>
  </si>
  <si>
    <t>Total Dem. Reat. Exced. Ponta Ind.</t>
  </si>
  <si>
    <t xml:space="preserve"> Total Dem. Reat. Exced.
FP Ind.</t>
  </si>
  <si>
    <t xml:space="preserve"> Total Dem. Reat. Exced.
FP Cap.</t>
  </si>
  <si>
    <t>Custo Total
Reativos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</si>
</sst>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"/>
    <numFmt numFmtId="166" formatCode="#,##0.000"/>
    <numFmt numFmtId="167" formatCode="&quot;R$ &quot;#,##0.00"/>
    <numFmt numFmtId="168" formatCode="[$-416]mmm\-yy;@"/>
    <numFmt numFmtId="169" formatCode="&quot;R$&quot;\ #,##0.00"/>
  </numFmts>
  <fonts count="23" x14ac:knownFonts="1">
    <font>
      <sz val="11"/>
      <color theme="1"/>
      <name val="Calibri"/>
      <family val="2"/>
      <charset val="1"/>
    </font>
    <font>
      <b/>
      <sz val="15"/>
      <color rgb="FF1B365D"/>
      <name val="Segoe UI"/>
      <family val="2"/>
      <charset val="1"/>
    </font>
    <font>
      <i/>
      <sz val="10"/>
      <color rgb="FF555555"/>
      <name val="Segoe UI"/>
      <charset val="1"/>
    </font>
    <font>
      <b/>
      <sz val="9"/>
      <color rgb="FFFFFFFF"/>
      <name val="Segoe UI"/>
      <charset val="1"/>
    </font>
    <font>
      <b/>
      <sz val="9"/>
      <color rgb="FFFFFFFF"/>
      <name val="Segoe UI"/>
      <family val="2"/>
      <charset val="1"/>
    </font>
    <font>
      <sz val="9"/>
      <color rgb="FF000000"/>
      <name val="Segoe UI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</font>
    <font>
      <sz val="8"/>
      <name val="Calibri"/>
      <family val="2"/>
      <charset val="1"/>
    </font>
    <font>
      <sz val="9"/>
      <color rgb="FF000000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libri"/>
      <family val="2"/>
    </font>
    <font>
      <b/>
      <sz val="14"/>
      <color rgb="FF1B365D"/>
      <name val="Segoe UI"/>
      <family val="2"/>
      <charset val="1"/>
    </font>
    <font>
      <b/>
      <sz val="14"/>
      <color theme="1"/>
      <name val="Calibri"/>
      <family val="2"/>
    </font>
    <font>
      <b/>
      <i/>
      <sz val="11"/>
      <color theme="0" tint="-0.499984740745262"/>
      <name val="Calibri"/>
      <family val="2"/>
    </font>
    <font>
      <b/>
      <sz val="14"/>
      <color theme="1" tint="0.34998626667073579"/>
      <name val="Calibri"/>
      <family val="2"/>
    </font>
    <font>
      <sz val="26"/>
      <color theme="1" tint="0.249977111117893"/>
      <name val="Calibri"/>
      <family val="2"/>
      <charset val="1"/>
    </font>
    <font>
      <sz val="22"/>
      <color theme="1" tint="0.249977111117893"/>
      <name val="Calibri"/>
      <family val="2"/>
    </font>
    <font>
      <b/>
      <sz val="26"/>
      <color theme="1" tint="0.249977111117893"/>
      <name val="Calibri"/>
      <family val="2"/>
    </font>
    <font>
      <b/>
      <sz val="11"/>
      <color rgb="FF1B365D"/>
      <name val="Segoe UI"/>
      <family val="2"/>
    </font>
    <font>
      <sz val="20"/>
      <color theme="1" tint="0.249977111117893"/>
      <name val="Calibri"/>
      <family val="2"/>
    </font>
    <font>
      <b/>
      <sz val="16"/>
      <color theme="1" tint="0.3499862666707357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rgb="FF1B365D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F2F2F2"/>
      </patternFill>
    </fill>
  </fills>
  <borders count="42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/>
      </bottom>
      <diagonal/>
    </border>
    <border>
      <left/>
      <right style="thin">
        <color theme="0" tint="-0.34998626667073579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/>
      </right>
      <top style="thin">
        <color theme="0"/>
      </top>
      <bottom/>
      <diagonal/>
    </border>
    <border>
      <left style="thin">
        <color theme="0" tint="-0.34998626667073579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/>
      <top style="thin">
        <color theme="0"/>
      </top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 applyProtection="1">
      <alignment horizontal="center" vertical="center"/>
      <protection locked="0"/>
    </xf>
    <xf numFmtId="165" fontId="5" fillId="4" borderId="4" xfId="0" applyNumberFormat="1" applyFont="1" applyFill="1" applyBorder="1" applyAlignment="1" applyProtection="1">
      <alignment horizontal="center" vertical="center"/>
      <protection locked="0"/>
    </xf>
    <xf numFmtId="164" fontId="5" fillId="4" borderId="3" xfId="0" applyNumberFormat="1" applyFont="1" applyFill="1" applyBorder="1" applyAlignment="1" applyProtection="1">
      <alignment horizontal="center" vertical="center"/>
      <protection locked="0"/>
    </xf>
    <xf numFmtId="165" fontId="5" fillId="4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/>
    <xf numFmtId="0" fontId="20" fillId="11" borderId="8" xfId="0" applyFont="1" applyFill="1" applyBorder="1" applyAlignment="1">
      <alignment horizontal="center" vertical="center"/>
    </xf>
    <xf numFmtId="169" fontId="0" fillId="0" borderId="0" xfId="0" applyNumberFormat="1"/>
    <xf numFmtId="164" fontId="5" fillId="10" borderId="4" xfId="0" applyNumberFormat="1" applyFont="1" applyFill="1" applyBorder="1" applyAlignment="1" applyProtection="1">
      <alignment vertical="center"/>
      <protection locked="0"/>
    </xf>
    <xf numFmtId="165" fontId="5" fillId="10" borderId="4" xfId="0" applyNumberFormat="1" applyFont="1" applyFill="1" applyBorder="1" applyAlignment="1" applyProtection="1">
      <alignment vertical="center"/>
      <protection locked="0"/>
    </xf>
    <xf numFmtId="164" fontId="5" fillId="3" borderId="4" xfId="0" applyNumberFormat="1" applyFont="1" applyFill="1" applyBorder="1" applyAlignment="1" applyProtection="1">
      <alignment horizontal="center" vertical="center"/>
      <protection locked="0"/>
    </xf>
    <xf numFmtId="165" fontId="5" fillId="3" borderId="4" xfId="0" applyNumberFormat="1" applyFont="1" applyFill="1" applyBorder="1" applyAlignment="1" applyProtection="1">
      <alignment horizontal="center" vertical="center"/>
      <protection locked="0"/>
    </xf>
    <xf numFmtId="164" fontId="5" fillId="3" borderId="3" xfId="0" applyNumberFormat="1" applyFont="1" applyFill="1" applyBorder="1" applyAlignment="1" applyProtection="1">
      <alignment horizontal="center" vertical="center"/>
      <protection locked="0"/>
    </xf>
    <xf numFmtId="165" fontId="5" fillId="3" borderId="3" xfId="0" applyNumberFormat="1" applyFont="1" applyFill="1" applyBorder="1" applyAlignment="1" applyProtection="1">
      <alignment horizontal="center" vertical="center"/>
      <protection locked="0"/>
    </xf>
    <xf numFmtId="2" fontId="5" fillId="3" borderId="4" xfId="0" applyNumberFormat="1" applyFont="1" applyFill="1" applyBorder="1" applyAlignment="1">
      <alignment vertical="center"/>
    </xf>
    <xf numFmtId="168" fontId="20" fillId="11" borderId="8" xfId="0" applyNumberFormat="1" applyFont="1" applyFill="1" applyBorder="1" applyAlignment="1" applyProtection="1">
      <alignment horizontal="right" vertical="center"/>
      <protection locked="0"/>
    </xf>
    <xf numFmtId="0" fontId="20" fillId="11" borderId="8" xfId="0" applyFont="1" applyFill="1" applyBorder="1" applyAlignment="1" applyProtection="1">
      <alignment horizontal="left" vertical="center"/>
      <protection locked="0"/>
    </xf>
    <xf numFmtId="0" fontId="20" fillId="11" borderId="8" xfId="0" applyFont="1" applyFill="1" applyBorder="1" applyAlignment="1" applyProtection="1">
      <alignment horizontal="right" vertical="center"/>
      <protection locked="0"/>
    </xf>
    <xf numFmtId="0" fontId="20" fillId="11" borderId="15" xfId="0" applyFont="1" applyFill="1" applyBorder="1" applyAlignment="1" applyProtection="1">
      <alignment horizontal="left" vertical="center"/>
      <protection locked="0"/>
    </xf>
    <xf numFmtId="0" fontId="13" fillId="11" borderId="15" xfId="0" applyFont="1" applyFill="1" applyBorder="1" applyAlignment="1" applyProtection="1">
      <alignment horizontal="left" vertical="center"/>
      <protection locked="0"/>
    </xf>
    <xf numFmtId="168" fontId="9" fillId="13" borderId="21" xfId="0" applyNumberFormat="1" applyFont="1" applyFill="1" applyBorder="1" applyAlignment="1" applyProtection="1">
      <alignment horizontal="center" vertical="center"/>
      <protection locked="0"/>
    </xf>
    <xf numFmtId="168" fontId="9" fillId="13" borderId="23" xfId="0" applyNumberFormat="1" applyFont="1" applyFill="1" applyBorder="1" applyAlignment="1" applyProtection="1">
      <alignment horizontal="center" vertical="center"/>
      <protection locked="0"/>
    </xf>
    <xf numFmtId="166" fontId="9" fillId="13" borderId="4" xfId="0" applyNumberFormat="1" applyFont="1" applyFill="1" applyBorder="1" applyAlignment="1" applyProtection="1">
      <alignment vertical="center"/>
      <protection locked="0"/>
    </xf>
    <xf numFmtId="164" fontId="5" fillId="3" borderId="4" xfId="0" applyNumberFormat="1" applyFont="1" applyFill="1" applyBorder="1" applyAlignment="1" applyProtection="1">
      <alignment vertical="center"/>
      <protection locked="0"/>
    </xf>
    <xf numFmtId="165" fontId="5" fillId="3" borderId="4" xfId="0" applyNumberFormat="1" applyFont="1" applyFill="1" applyBorder="1" applyAlignment="1" applyProtection="1">
      <alignment vertical="center"/>
      <protection locked="0"/>
    </xf>
    <xf numFmtId="0" fontId="20" fillId="11" borderId="14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right" vertical="center"/>
    </xf>
    <xf numFmtId="0" fontId="20" fillId="11" borderId="8" xfId="0" applyFont="1" applyFill="1" applyBorder="1" applyAlignment="1">
      <alignment horizontal="left" vertical="center"/>
    </xf>
    <xf numFmtId="0" fontId="20" fillId="11" borderId="34" xfId="0" applyFont="1" applyFill="1" applyBorder="1" applyAlignment="1">
      <alignment horizontal="left" vertical="center"/>
    </xf>
    <xf numFmtId="0" fontId="0" fillId="0" borderId="35" xfId="0" applyBorder="1"/>
    <xf numFmtId="0" fontId="0" fillId="0" borderId="36" xfId="0" applyBorder="1"/>
    <xf numFmtId="0" fontId="7" fillId="2" borderId="3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168" fontId="9" fillId="10" borderId="37" xfId="0" applyNumberFormat="1" applyFont="1" applyFill="1" applyBorder="1" applyAlignment="1">
      <alignment horizontal="center" vertical="center"/>
    </xf>
    <xf numFmtId="164" fontId="5" fillId="13" borderId="4" xfId="0" applyNumberFormat="1" applyFont="1" applyFill="1" applyBorder="1" applyAlignment="1">
      <alignment vertical="center"/>
    </xf>
    <xf numFmtId="164" fontId="5" fillId="10" borderId="4" xfId="0" applyNumberFormat="1" applyFont="1" applyFill="1" applyBorder="1" applyAlignment="1">
      <alignment vertical="center"/>
    </xf>
    <xf numFmtId="2" fontId="5" fillId="10" borderId="4" xfId="0" applyNumberFormat="1" applyFont="1" applyFill="1" applyBorder="1" applyAlignment="1">
      <alignment vertical="center"/>
    </xf>
    <xf numFmtId="4" fontId="5" fillId="10" borderId="38" xfId="0" applyNumberFormat="1" applyFont="1" applyFill="1" applyBorder="1" applyAlignment="1">
      <alignment vertical="center"/>
    </xf>
    <xf numFmtId="0" fontId="3" fillId="2" borderId="39" xfId="0" applyFont="1" applyFill="1" applyBorder="1" applyAlignment="1">
      <alignment horizontal="center" vertical="center" wrapText="1"/>
    </xf>
    <xf numFmtId="167" fontId="3" fillId="2" borderId="40" xfId="0" applyNumberFormat="1" applyFont="1" applyFill="1" applyBorder="1" applyAlignment="1">
      <alignment horizontal="right" vertical="center" wrapText="1"/>
    </xf>
    <xf numFmtId="0" fontId="3" fillId="2" borderId="40" xfId="0" applyFont="1" applyFill="1" applyBorder="1" applyAlignment="1">
      <alignment horizontal="center" vertical="center" wrapText="1"/>
    </xf>
    <xf numFmtId="167" fontId="3" fillId="2" borderId="41" xfId="0" applyNumberFormat="1" applyFont="1" applyFill="1" applyBorder="1" applyAlignment="1">
      <alignment horizontal="right" vertical="center" wrapText="1"/>
    </xf>
    <xf numFmtId="164" fontId="5" fillId="13" borderId="4" xfId="0" applyNumberFormat="1" applyFont="1" applyFill="1" applyBorder="1" applyAlignment="1" applyProtection="1">
      <alignment vertical="center"/>
      <protection locked="0"/>
    </xf>
    <xf numFmtId="0" fontId="20" fillId="11" borderId="14" xfId="0" applyFont="1" applyFill="1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12" fillId="9" borderId="19" xfId="0" applyFont="1" applyFill="1" applyBorder="1" applyAlignment="1">
      <alignment vertical="center"/>
    </xf>
    <xf numFmtId="0" fontId="12" fillId="9" borderId="2" xfId="0" applyFont="1" applyFill="1" applyBorder="1" applyAlignment="1">
      <alignment vertical="center"/>
    </xf>
    <xf numFmtId="0" fontId="12" fillId="9" borderId="20" xfId="0" applyFont="1" applyFill="1" applyBorder="1" applyAlignment="1">
      <alignment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7" fontId="3" fillId="2" borderId="5" xfId="0" applyNumberFormat="1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center" vertical="center" wrapText="1"/>
    </xf>
    <xf numFmtId="167" fontId="3" fillId="2" borderId="6" xfId="0" applyNumberFormat="1" applyFont="1" applyFill="1" applyBorder="1" applyAlignment="1">
      <alignment horizontal="center" vertical="center" wrapText="1"/>
    </xf>
    <xf numFmtId="4" fontId="3" fillId="2" borderId="22" xfId="0" applyNumberFormat="1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vertical="center"/>
    </xf>
    <xf numFmtId="0" fontId="12" fillId="9" borderId="5" xfId="0" applyFont="1" applyFill="1" applyBorder="1" applyAlignment="1">
      <alignment vertical="center"/>
    </xf>
    <xf numFmtId="0" fontId="12" fillId="9" borderId="25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167" fontId="3" fillId="2" borderId="27" xfId="0" applyNumberFormat="1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167" fontId="3" fillId="2" borderId="28" xfId="0" applyNumberFormat="1" applyFont="1" applyFill="1" applyBorder="1" applyAlignment="1">
      <alignment horizontal="center" vertical="center" wrapText="1"/>
    </xf>
    <xf numFmtId="4" fontId="3" fillId="2" borderId="29" xfId="0" applyNumberFormat="1" applyFont="1" applyFill="1" applyBorder="1" applyAlignment="1">
      <alignment horizontal="center" vertical="center" wrapText="1"/>
    </xf>
    <xf numFmtId="0" fontId="13" fillId="11" borderId="14" xfId="0" applyFont="1" applyFill="1" applyBorder="1" applyAlignment="1">
      <alignment horizontal="center" vertical="center"/>
    </xf>
    <xf numFmtId="168" fontId="9" fillId="13" borderId="21" xfId="0" applyNumberFormat="1" applyFont="1" applyFill="1" applyBorder="1" applyAlignment="1">
      <alignment horizontal="center" vertical="center"/>
    </xf>
    <xf numFmtId="1" fontId="5" fillId="1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2" fontId="6" fillId="3" borderId="4" xfId="0" applyNumberFormat="1" applyFont="1" applyFill="1" applyBorder="1" applyAlignment="1">
      <alignment horizontal="center" vertical="center"/>
    </xf>
    <xf numFmtId="4" fontId="5" fillId="13" borderId="22" xfId="0" applyNumberFormat="1" applyFont="1" applyFill="1" applyBorder="1" applyAlignment="1">
      <alignment vertical="center"/>
    </xf>
    <xf numFmtId="1" fontId="5" fillId="1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 vertical="center"/>
    </xf>
    <xf numFmtId="0" fontId="13" fillId="12" borderId="30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3" fillId="12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3" fillId="11" borderId="16" xfId="0" applyFont="1" applyFill="1" applyBorder="1" applyAlignment="1">
      <alignment horizontal="center" vertical="center"/>
    </xf>
    <xf numFmtId="0" fontId="13" fillId="11" borderId="17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18" fillId="11" borderId="16" xfId="0" applyFont="1" applyFill="1" applyBorder="1" applyAlignment="1">
      <alignment horizontal="center" vertical="center"/>
    </xf>
    <xf numFmtId="0" fontId="18" fillId="11" borderId="17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/>
    </xf>
    <xf numFmtId="4" fontId="17" fillId="11" borderId="10" xfId="0" applyNumberFormat="1" applyFont="1" applyFill="1" applyBorder="1" applyAlignment="1">
      <alignment horizontal="center" vertical="center"/>
    </xf>
    <xf numFmtId="4" fontId="17" fillId="11" borderId="9" xfId="0" applyNumberFormat="1" applyFont="1" applyFill="1" applyBorder="1" applyAlignment="1">
      <alignment horizontal="center" vertical="center"/>
    </xf>
    <xf numFmtId="4" fontId="17" fillId="11" borderId="11" xfId="0" applyNumberFormat="1" applyFont="1" applyFill="1" applyBorder="1" applyAlignment="1">
      <alignment horizontal="center" vertical="center"/>
    </xf>
    <xf numFmtId="4" fontId="17" fillId="11" borderId="12" xfId="0" applyNumberFormat="1" applyFont="1" applyFill="1" applyBorder="1" applyAlignment="1">
      <alignment horizontal="center" vertical="center"/>
    </xf>
    <xf numFmtId="4" fontId="17" fillId="11" borderId="0" xfId="0" applyNumberFormat="1" applyFont="1" applyFill="1" applyAlignment="1">
      <alignment horizontal="center" vertical="center"/>
    </xf>
    <xf numFmtId="4" fontId="17" fillId="11" borderId="13" xfId="0" applyNumberFormat="1" applyFont="1" applyFill="1" applyBorder="1" applyAlignment="1">
      <alignment horizontal="center" vertical="center"/>
    </xf>
    <xf numFmtId="4" fontId="17" fillId="11" borderId="14" xfId="0" applyNumberFormat="1" applyFont="1" applyFill="1" applyBorder="1" applyAlignment="1">
      <alignment horizontal="center" vertical="center"/>
    </xf>
    <xf numFmtId="4" fontId="17" fillId="11" borderId="8" xfId="0" applyNumberFormat="1" applyFont="1" applyFill="1" applyBorder="1" applyAlignment="1">
      <alignment horizontal="center" vertical="center"/>
    </xf>
    <xf numFmtId="4" fontId="17" fillId="11" borderId="15" xfId="0" applyNumberFormat="1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right" vertical="center"/>
    </xf>
    <xf numFmtId="0" fontId="21" fillId="11" borderId="12" xfId="0" applyFont="1" applyFill="1" applyBorder="1" applyAlignment="1">
      <alignment horizontal="right" vertical="center"/>
    </xf>
    <xf numFmtId="0" fontId="21" fillId="11" borderId="14" xfId="0" applyFont="1" applyFill="1" applyBorder="1" applyAlignment="1">
      <alignment horizontal="right" vertical="center"/>
    </xf>
    <xf numFmtId="0" fontId="21" fillId="11" borderId="9" xfId="0" applyFont="1" applyFill="1" applyBorder="1" applyAlignment="1">
      <alignment horizontal="left" vertical="center"/>
    </xf>
    <xf numFmtId="0" fontId="21" fillId="11" borderId="0" xfId="0" applyFont="1" applyFill="1" applyAlignment="1">
      <alignment horizontal="left" vertical="center"/>
    </xf>
    <xf numFmtId="0" fontId="21" fillId="11" borderId="8" xfId="0" applyFont="1" applyFill="1" applyBorder="1" applyAlignment="1">
      <alignment horizontal="left" vertical="center"/>
    </xf>
    <xf numFmtId="0" fontId="21" fillId="11" borderId="9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right" vertical="center"/>
    </xf>
    <xf numFmtId="0" fontId="21" fillId="11" borderId="0" xfId="0" applyFont="1" applyFill="1" applyAlignment="1">
      <alignment horizontal="right" vertical="center"/>
    </xf>
    <xf numFmtId="0" fontId="21" fillId="11" borderId="8" xfId="0" applyFont="1" applyFill="1" applyBorder="1" applyAlignment="1">
      <alignment horizontal="right" vertical="center"/>
    </xf>
    <xf numFmtId="0" fontId="21" fillId="11" borderId="11" xfId="0" applyFont="1" applyFill="1" applyBorder="1" applyAlignment="1">
      <alignment horizontal="left" vertical="center"/>
    </xf>
    <xf numFmtId="0" fontId="21" fillId="11" borderId="13" xfId="0" applyFont="1" applyFill="1" applyBorder="1" applyAlignment="1">
      <alignment horizontal="left" vertical="center"/>
    </xf>
    <xf numFmtId="0" fontId="21" fillId="11" borderId="15" xfId="0" applyFont="1" applyFill="1" applyBorder="1" applyAlignment="1">
      <alignment horizontal="left" vertical="center"/>
    </xf>
    <xf numFmtId="4" fontId="17" fillId="12" borderId="7" xfId="0" applyNumberFormat="1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169" fontId="19" fillId="5" borderId="7" xfId="0" applyNumberFormat="1" applyFont="1" applyFill="1" applyBorder="1" applyAlignment="1">
      <alignment horizontal="center" vertical="center"/>
    </xf>
    <xf numFmtId="0" fontId="17" fillId="8" borderId="7" xfId="0" applyFont="1" applyFill="1" applyBorder="1" applyAlignment="1" applyProtection="1">
      <alignment horizontal="center" vertical="center"/>
      <protection locked="0"/>
    </xf>
    <xf numFmtId="0" fontId="18" fillId="8" borderId="16" xfId="0" applyFont="1" applyFill="1" applyBorder="1" applyAlignment="1">
      <alignment horizontal="center" vertical="center"/>
    </xf>
    <xf numFmtId="0" fontId="18" fillId="8" borderId="17" xfId="0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4" fontId="17" fillId="8" borderId="10" xfId="0" applyNumberFormat="1" applyFont="1" applyFill="1" applyBorder="1" applyAlignment="1">
      <alignment horizontal="center" vertical="center"/>
    </xf>
    <xf numFmtId="4" fontId="17" fillId="8" borderId="9" xfId="0" applyNumberFormat="1" applyFont="1" applyFill="1" applyBorder="1" applyAlignment="1">
      <alignment horizontal="center" vertical="center"/>
    </xf>
    <xf numFmtId="4" fontId="17" fillId="8" borderId="11" xfId="0" applyNumberFormat="1" applyFont="1" applyFill="1" applyBorder="1" applyAlignment="1">
      <alignment horizontal="center" vertical="center"/>
    </xf>
    <xf numFmtId="4" fontId="17" fillId="8" borderId="12" xfId="0" applyNumberFormat="1" applyFont="1" applyFill="1" applyBorder="1" applyAlignment="1">
      <alignment horizontal="center" vertical="center"/>
    </xf>
    <xf numFmtId="4" fontId="17" fillId="8" borderId="0" xfId="0" applyNumberFormat="1" applyFont="1" applyFill="1" applyAlignment="1">
      <alignment horizontal="center" vertical="center"/>
    </xf>
    <xf numFmtId="4" fontId="17" fillId="8" borderId="13" xfId="0" applyNumberFormat="1" applyFont="1" applyFill="1" applyBorder="1" applyAlignment="1">
      <alignment horizontal="center" vertical="center"/>
    </xf>
    <xf numFmtId="4" fontId="17" fillId="8" borderId="14" xfId="0" applyNumberFormat="1" applyFont="1" applyFill="1" applyBorder="1" applyAlignment="1">
      <alignment horizontal="center" vertical="center"/>
    </xf>
    <xf numFmtId="4" fontId="17" fillId="8" borderId="8" xfId="0" applyNumberFormat="1" applyFont="1" applyFill="1" applyBorder="1" applyAlignment="1">
      <alignment horizontal="center" vertical="center"/>
    </xf>
    <xf numFmtId="4" fontId="17" fillId="8" borderId="15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2" xfId="0" applyFont="1" applyFill="1" applyBorder="1" applyAlignment="1">
      <alignment horizontal="right" vertical="center"/>
    </xf>
    <xf numFmtId="0" fontId="21" fillId="8" borderId="14" xfId="0" applyFont="1" applyFill="1" applyBorder="1" applyAlignment="1">
      <alignment horizontal="right" vertical="center"/>
    </xf>
    <xf numFmtId="0" fontId="21" fillId="8" borderId="9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0" fontId="21" fillId="8" borderId="9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right" vertical="center"/>
    </xf>
    <xf numFmtId="0" fontId="21" fillId="8" borderId="0" xfId="0" applyFont="1" applyFill="1" applyAlignment="1">
      <alignment horizontal="right" vertical="center"/>
    </xf>
    <xf numFmtId="0" fontId="21" fillId="8" borderId="8" xfId="0" applyFont="1" applyFill="1" applyBorder="1" applyAlignment="1">
      <alignment horizontal="right" vertical="center"/>
    </xf>
    <xf numFmtId="0" fontId="21" fillId="8" borderId="11" xfId="0" applyFont="1" applyFill="1" applyBorder="1" applyAlignment="1">
      <alignment horizontal="left" vertical="center"/>
    </xf>
    <xf numFmtId="0" fontId="21" fillId="8" borderId="13" xfId="0" applyFont="1" applyFill="1" applyBorder="1" applyAlignment="1">
      <alignment horizontal="left" vertical="center"/>
    </xf>
    <xf numFmtId="0" fontId="21" fillId="8" borderId="15" xfId="0" applyFont="1" applyFill="1" applyBorder="1" applyAlignment="1">
      <alignment horizontal="left" vertical="center"/>
    </xf>
    <xf numFmtId="0" fontId="16" fillId="6" borderId="7" xfId="0" applyFont="1" applyFill="1" applyBorder="1" applyAlignment="1">
      <alignment horizontal="center" vertical="center"/>
    </xf>
    <xf numFmtId="0" fontId="0" fillId="0" borderId="0" xfId="0" applyAlignment="1" applyProtection="1">
      <alignment vertical="center"/>
    </xf>
    <xf numFmtId="0" fontId="13" fillId="8" borderId="16" xfId="0" applyFont="1" applyFill="1" applyBorder="1" applyAlignment="1" applyProtection="1">
      <alignment horizontal="center" vertical="center"/>
    </xf>
    <xf numFmtId="0" fontId="13" fillId="8" borderId="17" xfId="0" applyFont="1" applyFill="1" applyBorder="1" applyAlignment="1" applyProtection="1">
      <alignment horizontal="center" vertical="center"/>
    </xf>
    <xf numFmtId="0" fontId="13" fillId="8" borderId="18" xfId="0" applyFont="1" applyFill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0" fillId="11" borderId="14" xfId="0" applyFont="1" applyFill="1" applyBorder="1" applyAlignment="1" applyProtection="1">
      <alignment horizontal="right" vertical="center"/>
    </xf>
    <xf numFmtId="0" fontId="20" fillId="11" borderId="8" xfId="0" applyFont="1" applyFill="1" applyBorder="1" applyAlignment="1" applyProtection="1">
      <alignment horizontal="center" vertical="center"/>
    </xf>
    <xf numFmtId="0" fontId="13" fillId="11" borderId="14" xfId="0" applyFont="1" applyFill="1" applyBorder="1" applyAlignment="1" applyProtection="1">
      <alignment horizontal="right" vertical="center"/>
    </xf>
    <xf numFmtId="0" fontId="0" fillId="0" borderId="12" xfId="0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0" fillId="0" borderId="13" xfId="0" applyBorder="1" applyAlignment="1" applyProtection="1">
      <alignment vertical="center"/>
    </xf>
    <xf numFmtId="0" fontId="12" fillId="9" borderId="19" xfId="0" applyFont="1" applyFill="1" applyBorder="1" applyAlignment="1" applyProtection="1">
      <alignment vertical="center"/>
    </xf>
    <xf numFmtId="0" fontId="12" fillId="9" borderId="2" xfId="0" applyFont="1" applyFill="1" applyBorder="1" applyAlignment="1" applyProtection="1">
      <alignment vertical="center"/>
    </xf>
    <xf numFmtId="0" fontId="12" fillId="9" borderId="20" xfId="0" applyFont="1" applyFill="1" applyBorder="1" applyAlignment="1" applyProtection="1">
      <alignment vertical="center"/>
    </xf>
    <xf numFmtId="0" fontId="7" fillId="2" borderId="21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7" fillId="2" borderId="22" xfId="0" applyFont="1" applyFill="1" applyBorder="1" applyAlignment="1" applyProtection="1">
      <alignment horizontal="center" vertical="center" wrapText="1"/>
    </xf>
    <xf numFmtId="168" fontId="9" fillId="7" borderId="21" xfId="0" applyNumberFormat="1" applyFont="1" applyFill="1" applyBorder="1" applyAlignment="1" applyProtection="1">
      <alignment horizontal="center" vertical="center"/>
    </xf>
    <xf numFmtId="1" fontId="5" fillId="7" borderId="4" xfId="0" applyNumberFormat="1" applyFont="1" applyFill="1" applyBorder="1" applyAlignment="1" applyProtection="1">
      <alignment horizontal="center" vertical="center"/>
    </xf>
    <xf numFmtId="164" fontId="5" fillId="4" borderId="4" xfId="0" applyNumberFormat="1" applyFont="1" applyFill="1" applyBorder="1" applyAlignment="1" applyProtection="1">
      <alignment horizontal="center" vertical="center"/>
    </xf>
    <xf numFmtId="165" fontId="5" fillId="4" borderId="4" xfId="0" applyNumberFormat="1" applyFont="1" applyFill="1" applyBorder="1" applyAlignment="1" applyProtection="1">
      <alignment horizontal="center" vertical="center"/>
    </xf>
    <xf numFmtId="2" fontId="6" fillId="4" borderId="4" xfId="0" applyNumberFormat="1" applyFont="1" applyFill="1" applyBorder="1" applyAlignment="1" applyProtection="1">
      <alignment horizontal="center" vertical="center"/>
    </xf>
    <xf numFmtId="2" fontId="5" fillId="4" borderId="4" xfId="0" applyNumberFormat="1" applyFont="1" applyFill="1" applyBorder="1" applyAlignment="1" applyProtection="1">
      <alignment vertical="center"/>
    </xf>
    <xf numFmtId="4" fontId="5" fillId="7" borderId="22" xfId="0" applyNumberFormat="1" applyFont="1" applyFill="1" applyBorder="1" applyAlignment="1" applyProtection="1">
      <alignment vertical="center"/>
    </xf>
    <xf numFmtId="1" fontId="5" fillId="7" borderId="3" xfId="0" applyNumberFormat="1" applyFont="1" applyFill="1" applyBorder="1" applyAlignment="1" applyProtection="1">
      <alignment horizontal="center" vertical="center"/>
    </xf>
    <xf numFmtId="164" fontId="5" fillId="4" borderId="3" xfId="0" applyNumberFormat="1" applyFont="1" applyFill="1" applyBorder="1" applyAlignment="1" applyProtection="1">
      <alignment horizontal="center" vertical="center"/>
    </xf>
    <xf numFmtId="165" fontId="5" fillId="4" borderId="3" xfId="0" applyNumberFormat="1" applyFont="1" applyFill="1" applyBorder="1" applyAlignment="1" applyProtection="1">
      <alignment horizontal="center" vertical="center"/>
    </xf>
    <xf numFmtId="2" fontId="6" fillId="4" borderId="3" xfId="0" applyNumberFormat="1" applyFont="1" applyFill="1" applyBorder="1" applyAlignment="1" applyProtection="1">
      <alignment horizontal="center" vertical="center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167" fontId="3" fillId="2" borderId="5" xfId="0" applyNumberFormat="1" applyFont="1" applyFill="1" applyBorder="1" applyAlignment="1" applyProtection="1">
      <alignment horizontal="right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167" fontId="3" fillId="2" borderId="6" xfId="0" applyNumberFormat="1" applyFont="1" applyFill="1" applyBorder="1" applyAlignment="1" applyProtection="1">
      <alignment horizontal="center" vertical="center" wrapText="1"/>
    </xf>
    <xf numFmtId="4" fontId="3" fillId="2" borderId="22" xfId="0" applyNumberFormat="1" applyFont="1" applyFill="1" applyBorder="1" applyAlignment="1" applyProtection="1">
      <alignment horizontal="center" vertical="center" wrapText="1"/>
    </xf>
    <xf numFmtId="0" fontId="12" fillId="9" borderId="24" xfId="0" applyFont="1" applyFill="1" applyBorder="1" applyAlignment="1" applyProtection="1">
      <alignment vertical="center"/>
    </xf>
    <xf numFmtId="0" fontId="12" fillId="9" borderId="5" xfId="0" applyFont="1" applyFill="1" applyBorder="1" applyAlignment="1" applyProtection="1">
      <alignment vertical="center"/>
    </xf>
    <xf numFmtId="0" fontId="12" fillId="9" borderId="25" xfId="0" applyFont="1" applyFill="1" applyBorder="1" applyAlignment="1" applyProtection="1">
      <alignment vertical="center"/>
    </xf>
    <xf numFmtId="0" fontId="0" fillId="0" borderId="1" xfId="0" applyBorder="1" applyAlignment="1" applyProtection="1">
      <alignment vertical="center"/>
    </xf>
    <xf numFmtId="0" fontId="3" fillId="2" borderId="26" xfId="0" applyFont="1" applyFill="1" applyBorder="1" applyAlignment="1" applyProtection="1">
      <alignment horizontal="center" vertical="center" wrapText="1"/>
    </xf>
    <xf numFmtId="0" fontId="3" fillId="2" borderId="27" xfId="0" applyFont="1" applyFill="1" applyBorder="1" applyAlignment="1" applyProtection="1">
      <alignment horizontal="center" vertical="center" wrapText="1"/>
    </xf>
    <xf numFmtId="167" fontId="3" fillId="2" borderId="27" xfId="0" applyNumberFormat="1" applyFont="1" applyFill="1" applyBorder="1" applyAlignment="1" applyProtection="1">
      <alignment horizontal="center" vertical="center" wrapText="1"/>
    </xf>
    <xf numFmtId="0" fontId="3" fillId="2" borderId="28" xfId="0" applyFont="1" applyFill="1" applyBorder="1" applyAlignment="1" applyProtection="1">
      <alignment horizontal="center" vertical="center" wrapText="1"/>
    </xf>
    <xf numFmtId="167" fontId="3" fillId="2" borderId="28" xfId="0" applyNumberFormat="1" applyFont="1" applyFill="1" applyBorder="1" applyAlignment="1" applyProtection="1">
      <alignment horizontal="center" vertical="center" wrapText="1"/>
    </xf>
    <xf numFmtId="4" fontId="3" fillId="2" borderId="29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F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pt-BR" sz="1800" b="0">
                <a:solidFill>
                  <a:schemeClr val="tx1">
                    <a:lumMod val="65000"/>
                    <a:lumOff val="35000"/>
                  </a:schemeClr>
                </a:solidFill>
              </a:rPr>
              <a:t>DEMANDA NA PONTA ATUAL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74952069766185E-2"/>
          <c:y val="0.15483085494408594"/>
          <c:w val="0.88728324132893732"/>
          <c:h val="0.65854638917938046"/>
        </c:manualLayout>
      </c:layout>
      <c:barChart>
        <c:barDir val="col"/>
        <c:grouping val="stacked"/>
        <c:varyColors val="0"/>
        <c:ser>
          <c:idx val="0"/>
          <c:order val="0"/>
          <c:tx>
            <c:v>Registrada</c:v>
          </c:tx>
          <c:invertIfNegative val="0"/>
          <c:cat>
            <c:strRef>
              <c:f>Demanda_Ponta!$B$7:$B$18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Demanda_Ponta!$F$7:$F$18</c:f>
              <c:numCache>
                <c:formatCode>0.000</c:formatCode>
                <c:ptCount val="12"/>
                <c:pt idx="0">
                  <c:v>257.88</c:v>
                </c:pt>
                <c:pt idx="1">
                  <c:v>265.44</c:v>
                </c:pt>
                <c:pt idx="2">
                  <c:v>258.72000000000003</c:v>
                </c:pt>
                <c:pt idx="3">
                  <c:v>301.56</c:v>
                </c:pt>
                <c:pt idx="4">
                  <c:v>283.92</c:v>
                </c:pt>
                <c:pt idx="5">
                  <c:v>298.2</c:v>
                </c:pt>
                <c:pt idx="6">
                  <c:v>255.36</c:v>
                </c:pt>
                <c:pt idx="7">
                  <c:v>254.52</c:v>
                </c:pt>
                <c:pt idx="8">
                  <c:v>213.36</c:v>
                </c:pt>
                <c:pt idx="9">
                  <c:v>228.48</c:v>
                </c:pt>
                <c:pt idx="10">
                  <c:v>252</c:v>
                </c:pt>
                <c:pt idx="11">
                  <c:v>247.8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2-4C8B-9487-43260FF18617}"/>
            </c:ext>
          </c:extLst>
        </c:ser>
        <c:ser>
          <c:idx val="1"/>
          <c:order val="1"/>
          <c:tx>
            <c:v>Excedente</c:v>
          </c:tx>
          <c:spPr>
            <a:solidFill>
              <a:schemeClr val="accent3"/>
            </a:solidFill>
          </c:spPr>
          <c:invertIfNegative val="0"/>
          <c:cat>
            <c:strRef>
              <c:f>Demanda_Ponta!$B$7:$B$18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Demanda_Ponta!$L$7:$L$18</c:f>
              <c:numCache>
                <c:formatCode>0.000</c:formatCode>
                <c:ptCount val="12"/>
                <c:pt idx="0">
                  <c:v>80.12</c:v>
                </c:pt>
                <c:pt idx="1">
                  <c:v>72.56</c:v>
                </c:pt>
                <c:pt idx="2">
                  <c:v>79.279999999999973</c:v>
                </c:pt>
                <c:pt idx="3">
                  <c:v>36.44</c:v>
                </c:pt>
                <c:pt idx="4">
                  <c:v>54.079999999999984</c:v>
                </c:pt>
                <c:pt idx="5">
                  <c:v>39.800000000000011</c:v>
                </c:pt>
                <c:pt idx="6">
                  <c:v>82.639999999999986</c:v>
                </c:pt>
                <c:pt idx="7">
                  <c:v>83.47999999999999</c:v>
                </c:pt>
                <c:pt idx="8">
                  <c:v>124.63999999999999</c:v>
                </c:pt>
                <c:pt idx="9">
                  <c:v>109.52000000000001</c:v>
                </c:pt>
                <c:pt idx="10">
                  <c:v>86</c:v>
                </c:pt>
                <c:pt idx="11">
                  <c:v>90.199999999999989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2-4C8B-9487-43260FF18617}"/>
            </c:ext>
          </c:extLst>
        </c:ser>
        <c:ser>
          <c:idx val="2"/>
          <c:order val="2"/>
          <c:tx>
            <c:v>Ultrapassagem</c:v>
          </c:tx>
          <c:spPr>
            <a:solidFill>
              <a:schemeClr val="accent2"/>
            </a:solidFill>
          </c:spPr>
          <c:invertIfNegative val="0"/>
          <c:cat>
            <c:strRef>
              <c:f>Demanda_Ponta!$B$7:$B$18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Demanda_Ponta!$I$7:$I$18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22-4C8B-9487-43260FF18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699136"/>
        <c:axId val="76751616"/>
      </c:barChart>
      <c:lineChart>
        <c:grouping val="standard"/>
        <c:varyColors val="0"/>
        <c:ser>
          <c:idx val="4"/>
          <c:order val="3"/>
          <c:tx>
            <c:v>Contratada</c:v>
          </c:tx>
          <c:spPr>
            <a:ln w="22225">
              <a:solidFill>
                <a:schemeClr val="tx1"/>
              </a:solidFill>
              <a:prstDash val="soli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22-4C8B-9487-43260FF186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Demanda_Ponta!$C$7:$C$18</c:f>
              <c:numCache>
                <c:formatCode>0</c:formatCode>
                <c:ptCount val="12"/>
                <c:pt idx="0">
                  <c:v>338</c:v>
                </c:pt>
                <c:pt idx="1">
                  <c:v>338</c:v>
                </c:pt>
                <c:pt idx="2">
                  <c:v>338</c:v>
                </c:pt>
                <c:pt idx="3">
                  <c:v>338</c:v>
                </c:pt>
                <c:pt idx="4">
                  <c:v>338</c:v>
                </c:pt>
                <c:pt idx="5">
                  <c:v>338</c:v>
                </c:pt>
                <c:pt idx="6">
                  <c:v>338</c:v>
                </c:pt>
                <c:pt idx="7">
                  <c:v>338</c:v>
                </c:pt>
                <c:pt idx="8">
                  <c:v>338</c:v>
                </c:pt>
                <c:pt idx="9">
                  <c:v>338</c:v>
                </c:pt>
                <c:pt idx="10">
                  <c:v>338</c:v>
                </c:pt>
                <c:pt idx="11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22-4C8B-9487-43260FF18617}"/>
            </c:ext>
          </c:extLst>
        </c:ser>
        <c:ser>
          <c:idx val="3"/>
          <c:order val="4"/>
          <c:tx>
            <c:v>Contratada + 5%</c:v>
          </c:tx>
          <c:spPr>
            <a:ln w="22225">
              <a:solidFill>
                <a:srgbClr val="FF0000"/>
              </a:solidFill>
              <a:prstDash val="dash"/>
              <a:headEnd type="none" w="med" len="med"/>
              <a:tailEnd type="none" w="med" len="me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22-4C8B-9487-43260FF186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Demanda_Ponta!$D$7:$D$18</c:f>
              <c:numCache>
                <c:formatCode>0</c:formatCode>
                <c:ptCount val="12"/>
                <c:pt idx="0">
                  <c:v>354.90000000000003</c:v>
                </c:pt>
                <c:pt idx="1">
                  <c:v>354.90000000000003</c:v>
                </c:pt>
                <c:pt idx="2">
                  <c:v>354.90000000000003</c:v>
                </c:pt>
                <c:pt idx="3">
                  <c:v>354.90000000000003</c:v>
                </c:pt>
                <c:pt idx="4">
                  <c:v>354.90000000000003</c:v>
                </c:pt>
                <c:pt idx="5">
                  <c:v>354.90000000000003</c:v>
                </c:pt>
                <c:pt idx="6">
                  <c:v>354.90000000000003</c:v>
                </c:pt>
                <c:pt idx="7">
                  <c:v>354.90000000000003</c:v>
                </c:pt>
                <c:pt idx="8">
                  <c:v>354.90000000000003</c:v>
                </c:pt>
                <c:pt idx="9">
                  <c:v>354.90000000000003</c:v>
                </c:pt>
                <c:pt idx="10">
                  <c:v>354.90000000000003</c:v>
                </c:pt>
                <c:pt idx="11">
                  <c:v>354.90000000000003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22-4C8B-9487-43260FF18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99136"/>
        <c:axId val="76751616"/>
      </c:lineChart>
      <c:catAx>
        <c:axId val="76699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76751616"/>
        <c:crosses val="autoZero"/>
        <c:auto val="1"/>
        <c:lblAlgn val="ctr"/>
        <c:lblOffset val="100"/>
        <c:noMultiLvlLbl val="0"/>
      </c:catAx>
      <c:valAx>
        <c:axId val="76751616"/>
        <c:scaling>
          <c:orientation val="minMax"/>
          <c:max val="360"/>
          <c:min val="0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76699136"/>
        <c:crosses val="autoZero"/>
        <c:crossBetween val="between"/>
        <c:majorUnit val="60"/>
      </c:valAx>
    </c:plotArea>
    <c:legend>
      <c:legendPos val="b"/>
      <c:layout>
        <c:manualLayout>
          <c:xMode val="edge"/>
          <c:yMode val="edge"/>
          <c:x val="1.1020387856698777E-2"/>
          <c:y val="0.87596482956132993"/>
          <c:w val="0.98641136878433688"/>
          <c:h val="0.12033894169036234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solidFill>
        <a:schemeClr val="bg1">
          <a:lumMod val="65000"/>
        </a:schemeClr>
      </a:solidFill>
    </a:ln>
  </c:sp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DEMANDA NA PONTA SIMULADA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74952069766185E-2"/>
          <c:y val="0.15483085494408594"/>
          <c:w val="0.88728324132893732"/>
          <c:h val="0.65854638917938046"/>
        </c:manualLayout>
      </c:layout>
      <c:barChart>
        <c:barDir val="col"/>
        <c:grouping val="stacked"/>
        <c:varyColors val="0"/>
        <c:ser>
          <c:idx val="0"/>
          <c:order val="0"/>
          <c:tx>
            <c:v>Registrada</c:v>
          </c:tx>
          <c:invertIfNegative val="0"/>
          <c:cat>
            <c:strRef>
              <c:f>Demanda_Ponta!$B$23:$B$34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Demanda_Ponta!$F$23:$F$34</c:f>
              <c:numCache>
                <c:formatCode>0.000</c:formatCode>
                <c:ptCount val="12"/>
                <c:pt idx="0">
                  <c:v>257.88</c:v>
                </c:pt>
                <c:pt idx="1">
                  <c:v>265.44</c:v>
                </c:pt>
                <c:pt idx="2">
                  <c:v>258.72000000000003</c:v>
                </c:pt>
                <c:pt idx="3">
                  <c:v>301.56</c:v>
                </c:pt>
                <c:pt idx="4">
                  <c:v>283.92</c:v>
                </c:pt>
                <c:pt idx="5">
                  <c:v>298.2</c:v>
                </c:pt>
                <c:pt idx="6">
                  <c:v>255.36</c:v>
                </c:pt>
                <c:pt idx="7">
                  <c:v>254.52</c:v>
                </c:pt>
                <c:pt idx="8">
                  <c:v>213.36</c:v>
                </c:pt>
                <c:pt idx="9">
                  <c:v>228.48</c:v>
                </c:pt>
                <c:pt idx="10">
                  <c:v>252</c:v>
                </c:pt>
                <c:pt idx="11">
                  <c:v>247.8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6-4015-AB07-F382A77CACB0}"/>
            </c:ext>
          </c:extLst>
        </c:ser>
        <c:ser>
          <c:idx val="1"/>
          <c:order val="1"/>
          <c:tx>
            <c:v>Excedente</c:v>
          </c:tx>
          <c:spPr>
            <a:solidFill>
              <a:schemeClr val="accent3"/>
            </a:solidFill>
          </c:spPr>
          <c:invertIfNegative val="0"/>
          <c:cat>
            <c:strRef>
              <c:f>Demanda_Ponta!$B$23:$B$34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Demanda_Ponta!$L$23:$L$34</c:f>
              <c:numCache>
                <c:formatCode>0.000</c:formatCode>
                <c:ptCount val="12"/>
                <c:pt idx="0">
                  <c:v>32.120000000000005</c:v>
                </c:pt>
                <c:pt idx="1">
                  <c:v>24.560000000000002</c:v>
                </c:pt>
                <c:pt idx="2">
                  <c:v>31.279999999999973</c:v>
                </c:pt>
                <c:pt idx="3">
                  <c:v>0</c:v>
                </c:pt>
                <c:pt idx="4">
                  <c:v>6.0799999999999841</c:v>
                </c:pt>
                <c:pt idx="5">
                  <c:v>0</c:v>
                </c:pt>
                <c:pt idx="6">
                  <c:v>34.639999999999986</c:v>
                </c:pt>
                <c:pt idx="7">
                  <c:v>35.47999999999999</c:v>
                </c:pt>
                <c:pt idx="8">
                  <c:v>76.639999999999986</c:v>
                </c:pt>
                <c:pt idx="9">
                  <c:v>61.52000000000001</c:v>
                </c:pt>
                <c:pt idx="10">
                  <c:v>38</c:v>
                </c:pt>
                <c:pt idx="11">
                  <c:v>42.199999999999989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6-4015-AB07-F382A77CACB0}"/>
            </c:ext>
          </c:extLst>
        </c:ser>
        <c:ser>
          <c:idx val="2"/>
          <c:order val="2"/>
          <c:tx>
            <c:v>Ultrapassagem</c:v>
          </c:tx>
          <c:spPr>
            <a:solidFill>
              <a:schemeClr val="accent2"/>
            </a:solidFill>
          </c:spPr>
          <c:invertIfNegative val="0"/>
          <c:cat>
            <c:strRef>
              <c:f>Demanda_Ponta!$B$23:$B$34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Demanda_Ponta!$I$23:$I$34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6-4015-AB07-F382A77C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699136"/>
        <c:axId val="76751616"/>
      </c:barChart>
      <c:lineChart>
        <c:grouping val="standard"/>
        <c:varyColors val="0"/>
        <c:ser>
          <c:idx val="4"/>
          <c:order val="3"/>
          <c:tx>
            <c:v>Contratada</c:v>
          </c:tx>
          <c:spPr>
            <a:ln w="22225">
              <a:solidFill>
                <a:schemeClr val="tx1"/>
              </a:solidFill>
              <a:prstDash val="soli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F6-4015-AB07-F382A77CAC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Demanda_Ponta!$C$23:$C$34</c:f>
              <c:numCache>
                <c:formatCode>0</c:formatCode>
                <c:ptCount val="12"/>
                <c:pt idx="0">
                  <c:v>290</c:v>
                </c:pt>
                <c:pt idx="1">
                  <c:v>290</c:v>
                </c:pt>
                <c:pt idx="2">
                  <c:v>290</c:v>
                </c:pt>
                <c:pt idx="3">
                  <c:v>290</c:v>
                </c:pt>
                <c:pt idx="4">
                  <c:v>290</c:v>
                </c:pt>
                <c:pt idx="5">
                  <c:v>290</c:v>
                </c:pt>
                <c:pt idx="6">
                  <c:v>290</c:v>
                </c:pt>
                <c:pt idx="7">
                  <c:v>290</c:v>
                </c:pt>
                <c:pt idx="8">
                  <c:v>290</c:v>
                </c:pt>
                <c:pt idx="9">
                  <c:v>290</c:v>
                </c:pt>
                <c:pt idx="10">
                  <c:v>290</c:v>
                </c:pt>
                <c:pt idx="11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F6-4015-AB07-F382A77CACB0}"/>
            </c:ext>
          </c:extLst>
        </c:ser>
        <c:ser>
          <c:idx val="3"/>
          <c:order val="4"/>
          <c:tx>
            <c:v>Contratada + 5%</c:v>
          </c:tx>
          <c:spPr>
            <a:ln w="22225">
              <a:solidFill>
                <a:srgbClr val="FF0000"/>
              </a:solidFill>
              <a:prstDash val="dash"/>
              <a:headEnd type="none" w="med" len="med"/>
              <a:tailEnd type="none" w="med" len="me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F6-4015-AB07-F382A77CAC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Demanda_Ponta!$D$23:$D$34</c:f>
              <c:numCache>
                <c:formatCode>0</c:formatCode>
                <c:ptCount val="12"/>
                <c:pt idx="0">
                  <c:v>304.5</c:v>
                </c:pt>
                <c:pt idx="1">
                  <c:v>304.5</c:v>
                </c:pt>
                <c:pt idx="2">
                  <c:v>304.5</c:v>
                </c:pt>
                <c:pt idx="3">
                  <c:v>304.5</c:v>
                </c:pt>
                <c:pt idx="4">
                  <c:v>304.5</c:v>
                </c:pt>
                <c:pt idx="5">
                  <c:v>304.5</c:v>
                </c:pt>
                <c:pt idx="6">
                  <c:v>304.5</c:v>
                </c:pt>
                <c:pt idx="7">
                  <c:v>304.5</c:v>
                </c:pt>
                <c:pt idx="8">
                  <c:v>304.5</c:v>
                </c:pt>
                <c:pt idx="9">
                  <c:v>304.5</c:v>
                </c:pt>
                <c:pt idx="10">
                  <c:v>304.5</c:v>
                </c:pt>
                <c:pt idx="11">
                  <c:v>304.5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F6-4015-AB07-F382A77C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99136"/>
        <c:axId val="76751616"/>
      </c:lineChart>
      <c:catAx>
        <c:axId val="76699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6751616"/>
        <c:crosses val="autoZero"/>
        <c:auto val="1"/>
        <c:lblAlgn val="ctr"/>
        <c:lblOffset val="100"/>
        <c:noMultiLvlLbl val="0"/>
      </c:catAx>
      <c:valAx>
        <c:axId val="76751616"/>
        <c:scaling>
          <c:orientation val="minMax"/>
          <c:max val="360"/>
          <c:min val="0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crossAx val="76699136"/>
        <c:crosses val="autoZero"/>
        <c:crossBetween val="between"/>
        <c:majorUnit val="60"/>
      </c:valAx>
    </c:plotArea>
    <c:legend>
      <c:legendPos val="b"/>
      <c:layout>
        <c:manualLayout>
          <c:xMode val="edge"/>
          <c:yMode val="edge"/>
          <c:x val="1.1020387856698777E-2"/>
          <c:y val="0.87596482956132993"/>
          <c:w val="0.98641136878433688"/>
          <c:h val="0.12033894169036234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solidFill>
        <a:schemeClr val="bg1">
          <a:lumMod val="65000"/>
        </a:schemeClr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pt-BR" sz="1800" b="0">
                <a:solidFill>
                  <a:schemeClr val="tx1">
                    <a:lumMod val="65000"/>
                    <a:lumOff val="35000"/>
                  </a:schemeClr>
                </a:solidFill>
              </a:rPr>
              <a:t>DEMANDA FORA DE</a:t>
            </a:r>
            <a:r>
              <a:rPr lang="pt-BR" sz="180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</a:t>
            </a:r>
            <a:r>
              <a:rPr lang="pt-BR" sz="1800" b="0">
                <a:solidFill>
                  <a:schemeClr val="tx1">
                    <a:lumMod val="65000"/>
                    <a:lumOff val="35000"/>
                  </a:schemeClr>
                </a:solidFill>
              </a:rPr>
              <a:t>PONTA ATUAL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74952069766185E-2"/>
          <c:y val="0.15483085494408594"/>
          <c:w val="0.88728324132893732"/>
          <c:h val="0.65854638917938046"/>
        </c:manualLayout>
      </c:layout>
      <c:barChart>
        <c:barDir val="col"/>
        <c:grouping val="stacked"/>
        <c:varyColors val="0"/>
        <c:ser>
          <c:idx val="0"/>
          <c:order val="0"/>
          <c:tx>
            <c:v>Registrada</c:v>
          </c:tx>
          <c:invertIfNegative val="0"/>
          <c:cat>
            <c:strRef>
              <c:f>Demanda_F_Ponta!$B$7:$B$18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Demanda_F_Ponta!$F$7:$F$18</c:f>
              <c:numCache>
                <c:formatCode>0.000</c:formatCode>
                <c:ptCount val="12"/>
                <c:pt idx="0">
                  <c:v>323.39999999999998</c:v>
                </c:pt>
                <c:pt idx="1">
                  <c:v>330.12</c:v>
                </c:pt>
                <c:pt idx="2">
                  <c:v>312.48</c:v>
                </c:pt>
                <c:pt idx="3">
                  <c:v>355.32</c:v>
                </c:pt>
                <c:pt idx="4">
                  <c:v>319.2</c:v>
                </c:pt>
                <c:pt idx="5">
                  <c:v>335.16</c:v>
                </c:pt>
                <c:pt idx="6">
                  <c:v>305.76</c:v>
                </c:pt>
                <c:pt idx="7">
                  <c:v>313.32</c:v>
                </c:pt>
                <c:pt idx="8">
                  <c:v>272.16000000000003</c:v>
                </c:pt>
                <c:pt idx="9">
                  <c:v>274.68</c:v>
                </c:pt>
                <c:pt idx="10">
                  <c:v>304.08</c:v>
                </c:pt>
                <c:pt idx="11">
                  <c:v>306.60000000000002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6-4966-BEB8-0B5D381D61E7}"/>
            </c:ext>
          </c:extLst>
        </c:ser>
        <c:ser>
          <c:idx val="1"/>
          <c:order val="1"/>
          <c:tx>
            <c:v>Excedente</c:v>
          </c:tx>
          <c:spPr>
            <a:solidFill>
              <a:schemeClr val="accent3"/>
            </a:solidFill>
          </c:spPr>
          <c:invertIfNegative val="0"/>
          <c:cat>
            <c:strRef>
              <c:f>Demanda_F_Ponta!$B$7:$B$18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Demanda_F_Ponta!$L$7:$L$18</c:f>
              <c:numCache>
                <c:formatCode>0.000</c:formatCode>
                <c:ptCount val="12"/>
                <c:pt idx="0">
                  <c:v>48.600000000000023</c:v>
                </c:pt>
                <c:pt idx="1">
                  <c:v>41.879999999999995</c:v>
                </c:pt>
                <c:pt idx="2">
                  <c:v>59.519999999999982</c:v>
                </c:pt>
                <c:pt idx="3">
                  <c:v>16.680000000000007</c:v>
                </c:pt>
                <c:pt idx="4">
                  <c:v>52.800000000000011</c:v>
                </c:pt>
                <c:pt idx="5">
                  <c:v>36.839999999999975</c:v>
                </c:pt>
                <c:pt idx="6">
                  <c:v>66.240000000000009</c:v>
                </c:pt>
                <c:pt idx="7">
                  <c:v>58.680000000000007</c:v>
                </c:pt>
                <c:pt idx="8">
                  <c:v>99.839999999999975</c:v>
                </c:pt>
                <c:pt idx="9">
                  <c:v>97.32</c:v>
                </c:pt>
                <c:pt idx="10">
                  <c:v>67.920000000000016</c:v>
                </c:pt>
                <c:pt idx="11">
                  <c:v>65.399999999999977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6-4966-BEB8-0B5D381D61E7}"/>
            </c:ext>
          </c:extLst>
        </c:ser>
        <c:ser>
          <c:idx val="2"/>
          <c:order val="2"/>
          <c:tx>
            <c:v>Ultrapassagem</c:v>
          </c:tx>
          <c:spPr>
            <a:solidFill>
              <a:schemeClr val="accent2"/>
            </a:solidFill>
          </c:spPr>
          <c:invertIfNegative val="0"/>
          <c:cat>
            <c:strRef>
              <c:f>Demanda_F_Ponta!$B$7:$B$18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Demanda_F_Ponta!$I$7:$I$18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6-4966-BEB8-0B5D381D6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699136"/>
        <c:axId val="76751616"/>
      </c:barChart>
      <c:lineChart>
        <c:grouping val="standard"/>
        <c:varyColors val="0"/>
        <c:ser>
          <c:idx val="4"/>
          <c:order val="3"/>
          <c:tx>
            <c:v>Contratada</c:v>
          </c:tx>
          <c:spPr>
            <a:ln w="22225">
              <a:solidFill>
                <a:schemeClr val="tx1"/>
              </a:solidFill>
              <a:prstDash val="soli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B6-4966-BEB8-0B5D381D61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Demanda_F_Ponta!$C$7:$C$18</c:f>
              <c:numCache>
                <c:formatCode>0</c:formatCode>
                <c:ptCount val="12"/>
                <c:pt idx="0">
                  <c:v>372</c:v>
                </c:pt>
                <c:pt idx="1">
                  <c:v>372</c:v>
                </c:pt>
                <c:pt idx="2">
                  <c:v>372</c:v>
                </c:pt>
                <c:pt idx="3">
                  <c:v>372</c:v>
                </c:pt>
                <c:pt idx="4">
                  <c:v>372</c:v>
                </c:pt>
                <c:pt idx="5">
                  <c:v>372</c:v>
                </c:pt>
                <c:pt idx="6">
                  <c:v>372</c:v>
                </c:pt>
                <c:pt idx="7">
                  <c:v>372</c:v>
                </c:pt>
                <c:pt idx="8">
                  <c:v>372</c:v>
                </c:pt>
                <c:pt idx="9">
                  <c:v>372</c:v>
                </c:pt>
                <c:pt idx="10">
                  <c:v>372</c:v>
                </c:pt>
                <c:pt idx="11">
                  <c:v>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B6-4966-BEB8-0B5D381D61E7}"/>
            </c:ext>
          </c:extLst>
        </c:ser>
        <c:ser>
          <c:idx val="3"/>
          <c:order val="4"/>
          <c:tx>
            <c:v>Contratada + 5%</c:v>
          </c:tx>
          <c:spPr>
            <a:ln w="22225">
              <a:solidFill>
                <a:srgbClr val="FF0000"/>
              </a:solidFill>
              <a:prstDash val="dash"/>
              <a:headEnd type="none" w="med" len="med"/>
              <a:tailEnd type="none" w="med" len="me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B6-4966-BEB8-0B5D381D61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Demanda_F_Ponta!$D$7:$D$18</c:f>
              <c:numCache>
                <c:formatCode>0</c:formatCode>
                <c:ptCount val="12"/>
                <c:pt idx="0">
                  <c:v>390.6</c:v>
                </c:pt>
                <c:pt idx="1">
                  <c:v>390.6</c:v>
                </c:pt>
                <c:pt idx="2">
                  <c:v>390.6</c:v>
                </c:pt>
                <c:pt idx="3">
                  <c:v>390.6</c:v>
                </c:pt>
                <c:pt idx="4">
                  <c:v>390.6</c:v>
                </c:pt>
                <c:pt idx="5">
                  <c:v>390.6</c:v>
                </c:pt>
                <c:pt idx="6">
                  <c:v>390.6</c:v>
                </c:pt>
                <c:pt idx="7">
                  <c:v>390.6</c:v>
                </c:pt>
                <c:pt idx="8">
                  <c:v>390.6</c:v>
                </c:pt>
                <c:pt idx="9">
                  <c:v>390.6</c:v>
                </c:pt>
                <c:pt idx="10">
                  <c:v>390.6</c:v>
                </c:pt>
                <c:pt idx="11">
                  <c:v>390.6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B6-4966-BEB8-0B5D381D6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99136"/>
        <c:axId val="76751616"/>
      </c:lineChart>
      <c:catAx>
        <c:axId val="76699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76751616"/>
        <c:crosses val="autoZero"/>
        <c:auto val="1"/>
        <c:lblAlgn val="ctr"/>
        <c:lblOffset val="100"/>
        <c:noMultiLvlLbl val="0"/>
      </c:catAx>
      <c:valAx>
        <c:axId val="76751616"/>
        <c:scaling>
          <c:orientation val="minMax"/>
          <c:max val="420"/>
          <c:min val="0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76699136"/>
        <c:crosses val="autoZero"/>
        <c:crossBetween val="between"/>
        <c:majorUnit val="60"/>
      </c:valAx>
    </c:plotArea>
    <c:legend>
      <c:legendPos val="b"/>
      <c:layout>
        <c:manualLayout>
          <c:xMode val="edge"/>
          <c:yMode val="edge"/>
          <c:x val="1.1020387856698777E-2"/>
          <c:y val="0.87596482956132993"/>
          <c:w val="0.98641136878433688"/>
          <c:h val="0.12033894169036234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solidFill>
        <a:schemeClr val="bg1">
          <a:lumMod val="65000"/>
        </a:schemeClr>
      </a:solidFill>
    </a:ln>
  </c:sp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DEMANDA FORA DE PONTA SIMULADA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74952069766185E-2"/>
          <c:y val="0.15483085494408594"/>
          <c:w val="0.88728324132893732"/>
          <c:h val="0.65854638917938046"/>
        </c:manualLayout>
      </c:layout>
      <c:barChart>
        <c:barDir val="col"/>
        <c:grouping val="stacked"/>
        <c:varyColors val="0"/>
        <c:ser>
          <c:idx val="0"/>
          <c:order val="0"/>
          <c:tx>
            <c:v>Registrada</c:v>
          </c:tx>
          <c:invertIfNegative val="0"/>
          <c:cat>
            <c:strRef>
              <c:f>Demanda_F_Ponta!$B$23:$B$34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Demanda_F_Ponta!$F$23:$F$34</c:f>
              <c:numCache>
                <c:formatCode>0.000</c:formatCode>
                <c:ptCount val="12"/>
                <c:pt idx="0">
                  <c:v>323.39999999999998</c:v>
                </c:pt>
                <c:pt idx="1">
                  <c:v>330.12</c:v>
                </c:pt>
                <c:pt idx="2">
                  <c:v>312.48</c:v>
                </c:pt>
                <c:pt idx="3">
                  <c:v>355.32</c:v>
                </c:pt>
                <c:pt idx="4">
                  <c:v>319.2</c:v>
                </c:pt>
                <c:pt idx="5">
                  <c:v>335.16</c:v>
                </c:pt>
                <c:pt idx="6">
                  <c:v>305.76</c:v>
                </c:pt>
                <c:pt idx="7">
                  <c:v>313.32</c:v>
                </c:pt>
                <c:pt idx="8">
                  <c:v>272.16000000000003</c:v>
                </c:pt>
                <c:pt idx="9">
                  <c:v>274.68</c:v>
                </c:pt>
                <c:pt idx="10">
                  <c:v>304.08</c:v>
                </c:pt>
                <c:pt idx="11">
                  <c:v>306.60000000000002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0-4B81-B7D4-406D947613E1}"/>
            </c:ext>
          </c:extLst>
        </c:ser>
        <c:ser>
          <c:idx val="1"/>
          <c:order val="1"/>
          <c:tx>
            <c:v>Excedente</c:v>
          </c:tx>
          <c:spPr>
            <a:solidFill>
              <a:schemeClr val="accent3"/>
            </a:solidFill>
          </c:spPr>
          <c:invertIfNegative val="0"/>
          <c:cat>
            <c:strRef>
              <c:f>Demanda_F_Ponta!$B$23:$B$34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Demanda_F_Ponta!$L$23:$L$34</c:f>
              <c:numCache>
                <c:formatCode>0.000</c:formatCode>
                <c:ptCount val="12"/>
                <c:pt idx="0">
                  <c:v>21.600000000000023</c:v>
                </c:pt>
                <c:pt idx="1">
                  <c:v>14.879999999999995</c:v>
                </c:pt>
                <c:pt idx="2">
                  <c:v>32.519999999999982</c:v>
                </c:pt>
                <c:pt idx="3">
                  <c:v>0</c:v>
                </c:pt>
                <c:pt idx="4">
                  <c:v>25.800000000000011</c:v>
                </c:pt>
                <c:pt idx="5">
                  <c:v>9.839999999999975</c:v>
                </c:pt>
                <c:pt idx="6">
                  <c:v>39.240000000000009</c:v>
                </c:pt>
                <c:pt idx="7">
                  <c:v>31.680000000000007</c:v>
                </c:pt>
                <c:pt idx="8">
                  <c:v>72.839999999999975</c:v>
                </c:pt>
                <c:pt idx="9">
                  <c:v>70.319999999999993</c:v>
                </c:pt>
                <c:pt idx="10">
                  <c:v>40.920000000000016</c:v>
                </c:pt>
                <c:pt idx="11">
                  <c:v>38.399999999999977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0-4B81-B7D4-406D947613E1}"/>
            </c:ext>
          </c:extLst>
        </c:ser>
        <c:ser>
          <c:idx val="2"/>
          <c:order val="2"/>
          <c:tx>
            <c:v>Ultrapassagem</c:v>
          </c:tx>
          <c:spPr>
            <a:solidFill>
              <a:schemeClr val="accent2"/>
            </a:solidFill>
          </c:spPr>
          <c:invertIfNegative val="0"/>
          <c:cat>
            <c:strRef>
              <c:f>Demanda_F_Ponta!$B$23:$B$34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Demanda_F_Ponta!$I$23:$I$34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0-4B81-B7D4-406D947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699136"/>
        <c:axId val="76751616"/>
      </c:barChart>
      <c:lineChart>
        <c:grouping val="standard"/>
        <c:varyColors val="0"/>
        <c:ser>
          <c:idx val="4"/>
          <c:order val="3"/>
          <c:tx>
            <c:v>Contratada</c:v>
          </c:tx>
          <c:spPr>
            <a:ln w="22225">
              <a:solidFill>
                <a:schemeClr val="tx1"/>
              </a:solidFill>
              <a:prstDash val="soli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B0-4B81-B7D4-406D94761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Demanda_F_Ponta!$B$23:$B$34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Demanda_F_Ponta!$C$23:$C$34</c:f>
              <c:numCache>
                <c:formatCode>0</c:formatCode>
                <c:ptCount val="12"/>
                <c:pt idx="0">
                  <c:v>345</c:v>
                </c:pt>
                <c:pt idx="1">
                  <c:v>345</c:v>
                </c:pt>
                <c:pt idx="2">
                  <c:v>345</c:v>
                </c:pt>
                <c:pt idx="3">
                  <c:v>345</c:v>
                </c:pt>
                <c:pt idx="4">
                  <c:v>345</c:v>
                </c:pt>
                <c:pt idx="5">
                  <c:v>345</c:v>
                </c:pt>
                <c:pt idx="6">
                  <c:v>345</c:v>
                </c:pt>
                <c:pt idx="7">
                  <c:v>345</c:v>
                </c:pt>
                <c:pt idx="8">
                  <c:v>345</c:v>
                </c:pt>
                <c:pt idx="9">
                  <c:v>345</c:v>
                </c:pt>
                <c:pt idx="10">
                  <c:v>345</c:v>
                </c:pt>
                <c:pt idx="11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B0-4B81-B7D4-406D947613E1}"/>
            </c:ext>
          </c:extLst>
        </c:ser>
        <c:ser>
          <c:idx val="3"/>
          <c:order val="4"/>
          <c:tx>
            <c:v>Contratada + 5%</c:v>
          </c:tx>
          <c:spPr>
            <a:ln w="22225">
              <a:solidFill>
                <a:srgbClr val="FF0000"/>
              </a:solidFill>
              <a:prstDash val="dash"/>
              <a:headEnd type="none" w="med" len="med"/>
              <a:tailEnd type="none" w="med" len="me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B0-4B81-B7D4-406D94761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Demanda_F_Ponta!$B$23:$B$34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Demanda_F_Ponta!$D$23:$D$34</c:f>
              <c:numCache>
                <c:formatCode>0</c:formatCode>
                <c:ptCount val="12"/>
                <c:pt idx="0">
                  <c:v>362.25</c:v>
                </c:pt>
                <c:pt idx="1">
                  <c:v>362.25</c:v>
                </c:pt>
                <c:pt idx="2">
                  <c:v>362.25</c:v>
                </c:pt>
                <c:pt idx="3">
                  <c:v>362.25</c:v>
                </c:pt>
                <c:pt idx="4">
                  <c:v>362.25</c:v>
                </c:pt>
                <c:pt idx="5">
                  <c:v>362.25</c:v>
                </c:pt>
                <c:pt idx="6">
                  <c:v>362.25</c:v>
                </c:pt>
                <c:pt idx="7">
                  <c:v>362.25</c:v>
                </c:pt>
                <c:pt idx="8">
                  <c:v>362.25</c:v>
                </c:pt>
                <c:pt idx="9">
                  <c:v>362.25</c:v>
                </c:pt>
                <c:pt idx="10">
                  <c:v>362.25</c:v>
                </c:pt>
                <c:pt idx="11">
                  <c:v>362.25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B0-4B81-B7D4-406D947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99136"/>
        <c:axId val="76751616"/>
      </c:lineChart>
      <c:catAx>
        <c:axId val="76699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6751616"/>
        <c:crosses val="autoZero"/>
        <c:auto val="1"/>
        <c:lblAlgn val="ctr"/>
        <c:lblOffset val="100"/>
        <c:noMultiLvlLbl val="0"/>
      </c:catAx>
      <c:valAx>
        <c:axId val="76751616"/>
        <c:scaling>
          <c:orientation val="minMax"/>
          <c:max val="420"/>
          <c:min val="0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crossAx val="76699136"/>
        <c:crosses val="autoZero"/>
        <c:crossBetween val="between"/>
        <c:majorUnit val="60"/>
      </c:valAx>
    </c:plotArea>
    <c:legend>
      <c:legendPos val="b"/>
      <c:layout>
        <c:manualLayout>
          <c:xMode val="edge"/>
          <c:yMode val="edge"/>
          <c:x val="1.1020387856698777E-2"/>
          <c:y val="0.87596482956132993"/>
          <c:w val="0.98641136878433688"/>
          <c:h val="0.12033894169036234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solidFill>
        <a:schemeClr val="bg1">
          <a:lumMod val="65000"/>
        </a:schemeClr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2</xdr:row>
      <xdr:rowOff>3</xdr:rowOff>
    </xdr:from>
    <xdr:to>
      <xdr:col>16</xdr:col>
      <xdr:colOff>666750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9E0A01-CE1C-46A9-A733-D6486855D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</xdr:colOff>
      <xdr:row>24</xdr:row>
      <xdr:rowOff>0</xdr:rowOff>
    </xdr:from>
    <xdr:to>
      <xdr:col>16</xdr:col>
      <xdr:colOff>666750</xdr:colOff>
      <xdr:row>44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4028F2-BF74-45A1-961F-53AACDBB0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9523</xdr:colOff>
      <xdr:row>2</xdr:row>
      <xdr:rowOff>11208</xdr:rowOff>
    </xdr:from>
    <xdr:to>
      <xdr:col>16</xdr:col>
      <xdr:colOff>666749</xdr:colOff>
      <xdr:row>22</xdr:row>
      <xdr:rowOff>22411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6DCB68-6E35-4300-B0D4-D6EDDE5AE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</xdr:colOff>
      <xdr:row>24</xdr:row>
      <xdr:rowOff>0</xdr:rowOff>
    </xdr:from>
    <xdr:to>
      <xdr:col>16</xdr:col>
      <xdr:colOff>666750</xdr:colOff>
      <xdr:row>44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D339A3-1180-402F-9262-3B6A154DA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B1:W35"/>
  <sheetViews>
    <sheetView topLeftCell="A4" zoomScaleNormal="100" workbookViewId="0">
      <selection activeCell="S21" sqref="S21:S22"/>
    </sheetView>
  </sheetViews>
  <sheetFormatPr defaultColWidth="9.140625" defaultRowHeight="15" x14ac:dyDescent="0.25"/>
  <cols>
    <col min="1" max="1" width="1.85546875" style="1" customWidth="1"/>
    <col min="2" max="2" width="5.7109375" style="1" customWidth="1"/>
    <col min="3" max="3" width="9.7109375" style="1" customWidth="1"/>
    <col min="4" max="9" width="10.7109375" style="1" customWidth="1"/>
    <col min="10" max="10" width="11.42578125" style="1" bestFit="1" customWidth="1"/>
    <col min="11" max="19" width="10.7109375" style="1" customWidth="1"/>
    <col min="20" max="20" width="11.42578125" style="1" bestFit="1" customWidth="1"/>
    <col min="21" max="21" width="11.42578125" style="1" customWidth="1"/>
    <col min="22" max="22" width="10.28515625" style="1" bestFit="1" customWidth="1"/>
    <col min="23" max="23" width="11.42578125" style="1" customWidth="1"/>
    <col min="24" max="25" width="10.7109375" style="1" customWidth="1"/>
    <col min="26" max="26" width="11.42578125" style="1" bestFit="1" customWidth="1"/>
    <col min="27" max="30" width="10.7109375" style="1" customWidth="1"/>
    <col min="31" max="31" width="14" style="1" customWidth="1"/>
    <col min="32" max="16384" width="9.140625" style="1"/>
  </cols>
  <sheetData>
    <row r="1" spans="2:23" ht="6.75" customHeight="1" x14ac:dyDescent="0.25"/>
    <row r="2" spans="2:23" ht="30" customHeight="1" x14ac:dyDescent="0.25">
      <c r="B2" s="92" t="s">
        <v>50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4"/>
    </row>
    <row r="3" spans="2:23" ht="30" customHeight="1" x14ac:dyDescent="0.25">
      <c r="B3" s="95" t="s">
        <v>31</v>
      </c>
      <c r="C3" s="90"/>
      <c r="D3" s="90"/>
      <c r="E3" s="90"/>
      <c r="F3" s="91"/>
      <c r="G3" s="49" t="s">
        <v>46</v>
      </c>
      <c r="H3" s="20" t="str">
        <f>B7</f>
        <v>out</v>
      </c>
      <c r="I3" s="21">
        <v>2025</v>
      </c>
      <c r="J3" s="11" t="s">
        <v>47</v>
      </c>
      <c r="K3" s="22" t="s">
        <v>28</v>
      </c>
      <c r="L3" s="23">
        <v>2026</v>
      </c>
      <c r="N3" s="75" t="s">
        <v>33</v>
      </c>
      <c r="O3" s="24">
        <v>338</v>
      </c>
    </row>
    <row r="4" spans="2:23" ht="4.5" customHeight="1" x14ac:dyDescent="0.25">
      <c r="B4" s="50"/>
      <c r="E4" s="51"/>
      <c r="F4" s="51"/>
      <c r="I4" s="51"/>
      <c r="O4" s="52"/>
      <c r="T4" s="51"/>
      <c r="W4" s="51"/>
    </row>
    <row r="5" spans="2:23" ht="23.25" x14ac:dyDescent="0.25">
      <c r="B5" s="53"/>
      <c r="C5" s="54"/>
      <c r="D5" s="54"/>
      <c r="E5" s="54"/>
      <c r="F5" s="54"/>
      <c r="G5" s="54" t="s">
        <v>36</v>
      </c>
      <c r="H5" s="54"/>
      <c r="I5" s="54"/>
      <c r="J5" s="54"/>
      <c r="K5" s="54"/>
      <c r="L5" s="54"/>
      <c r="M5" s="54"/>
      <c r="N5" s="54"/>
      <c r="O5" s="55"/>
    </row>
    <row r="6" spans="2:23" ht="48" x14ac:dyDescent="0.25">
      <c r="B6" s="56" t="s">
        <v>29</v>
      </c>
      <c r="C6" s="4" t="s">
        <v>0</v>
      </c>
      <c r="D6" s="4" t="s">
        <v>13</v>
      </c>
      <c r="E6" s="4" t="s">
        <v>1</v>
      </c>
      <c r="F6" s="4" t="s">
        <v>34</v>
      </c>
      <c r="G6" s="4" t="s">
        <v>2</v>
      </c>
      <c r="H6" s="4" t="s">
        <v>3</v>
      </c>
      <c r="I6" s="4" t="s">
        <v>16</v>
      </c>
      <c r="J6" s="57" t="s">
        <v>14</v>
      </c>
      <c r="K6" s="4" t="s">
        <v>15</v>
      </c>
      <c r="L6" s="4" t="s">
        <v>4</v>
      </c>
      <c r="M6" s="5" t="s">
        <v>5</v>
      </c>
      <c r="N6" s="5" t="s">
        <v>6</v>
      </c>
      <c r="O6" s="58" t="s">
        <v>43</v>
      </c>
    </row>
    <row r="7" spans="2:23" x14ac:dyDescent="0.25">
      <c r="B7" s="25" t="s">
        <v>17</v>
      </c>
      <c r="C7" s="77">
        <f>Simul_Ponta!$B$13</f>
        <v>338</v>
      </c>
      <c r="D7" s="77">
        <f>C7*1.05</f>
        <v>354.90000000000003</v>
      </c>
      <c r="E7" s="15">
        <v>257.88</v>
      </c>
      <c r="F7" s="78">
        <f>IF(E7&gt;D7,C7,E7)</f>
        <v>257.88</v>
      </c>
      <c r="G7" s="16">
        <v>37.996200000000002</v>
      </c>
      <c r="H7" s="80">
        <f t="shared" ref="H7:H18" si="0">E7*G7</f>
        <v>9798.4600559999999</v>
      </c>
      <c r="I7" s="78">
        <f t="shared" ref="I7:I18" si="1">IF(E7&gt;D7,E7-C7,0)</f>
        <v>0</v>
      </c>
      <c r="J7" s="79">
        <f>G7*2</f>
        <v>75.992400000000004</v>
      </c>
      <c r="K7" s="80">
        <f>I7*J7</f>
        <v>0</v>
      </c>
      <c r="L7" s="78">
        <f t="shared" ref="L7:L18" si="2">IF(E7&gt;C7,0,C7-E7)</f>
        <v>80.12</v>
      </c>
      <c r="M7" s="79">
        <f t="shared" ref="M7:M18" si="3">G7-(G7*18%)</f>
        <v>31.156884000000002</v>
      </c>
      <c r="N7" s="19">
        <f t="shared" ref="N7:N18" si="4">L7*M7</f>
        <v>2496.2895460800005</v>
      </c>
      <c r="O7" s="81">
        <f t="shared" ref="O7:O18" si="5">H7+K7+N7</f>
        <v>12294.749602080001</v>
      </c>
    </row>
    <row r="8" spans="2:23" x14ac:dyDescent="0.25">
      <c r="B8" s="25" t="s">
        <v>18</v>
      </c>
      <c r="C8" s="77">
        <f>Simul_Ponta!$B$13</f>
        <v>338</v>
      </c>
      <c r="D8" s="77">
        <f t="shared" ref="D8:D18" si="6">C8*1.05</f>
        <v>354.90000000000003</v>
      </c>
      <c r="E8" s="15">
        <v>265.44</v>
      </c>
      <c r="F8" s="78">
        <f t="shared" ref="F8:F18" si="7">IF(E8&gt;D8,C8,E8)</f>
        <v>265.44</v>
      </c>
      <c r="G8" s="16">
        <v>37.984050000000003</v>
      </c>
      <c r="H8" s="80">
        <f t="shared" si="0"/>
        <v>10082.486232000001</v>
      </c>
      <c r="I8" s="78">
        <f t="shared" si="1"/>
        <v>0</v>
      </c>
      <c r="J8" s="79">
        <f t="shared" ref="J8:J18" si="8">G8*2</f>
        <v>75.968100000000007</v>
      </c>
      <c r="K8" s="80">
        <f t="shared" ref="K8:K18" si="9">I8*J8</f>
        <v>0</v>
      </c>
      <c r="L8" s="78">
        <f t="shared" si="2"/>
        <v>72.56</v>
      </c>
      <c r="M8" s="79">
        <f t="shared" si="3"/>
        <v>31.146921000000003</v>
      </c>
      <c r="N8" s="19">
        <f t="shared" si="4"/>
        <v>2260.0205877600001</v>
      </c>
      <c r="O8" s="81">
        <f t="shared" si="5"/>
        <v>12342.506819760001</v>
      </c>
    </row>
    <row r="9" spans="2:23" x14ac:dyDescent="0.25">
      <c r="B9" s="25" t="s">
        <v>19</v>
      </c>
      <c r="C9" s="77">
        <f>Simul_Ponta!$B$13</f>
        <v>338</v>
      </c>
      <c r="D9" s="77">
        <f t="shared" si="6"/>
        <v>354.90000000000003</v>
      </c>
      <c r="E9" s="15">
        <v>258.72000000000003</v>
      </c>
      <c r="F9" s="78">
        <f t="shared" si="7"/>
        <v>258.72000000000003</v>
      </c>
      <c r="G9" s="16">
        <v>37.955779999999997</v>
      </c>
      <c r="H9" s="80">
        <f t="shared" si="0"/>
        <v>9819.9194016000001</v>
      </c>
      <c r="I9" s="78">
        <f t="shared" si="1"/>
        <v>0</v>
      </c>
      <c r="J9" s="79">
        <f t="shared" si="8"/>
        <v>75.911559999999994</v>
      </c>
      <c r="K9" s="80">
        <f t="shared" si="9"/>
        <v>0</v>
      </c>
      <c r="L9" s="78">
        <f t="shared" si="2"/>
        <v>79.279999999999973</v>
      </c>
      <c r="M9" s="79">
        <f t="shared" si="3"/>
        <v>31.123739599999997</v>
      </c>
      <c r="N9" s="19">
        <f t="shared" si="4"/>
        <v>2467.4900754879991</v>
      </c>
      <c r="O9" s="81">
        <f t="shared" si="5"/>
        <v>12287.409477088</v>
      </c>
    </row>
    <row r="10" spans="2:23" x14ac:dyDescent="0.25">
      <c r="B10" s="25" t="s">
        <v>20</v>
      </c>
      <c r="C10" s="77">
        <f>Simul_Ponta!$B$13</f>
        <v>338</v>
      </c>
      <c r="D10" s="77">
        <f t="shared" si="6"/>
        <v>354.90000000000003</v>
      </c>
      <c r="E10" s="15">
        <v>301.56</v>
      </c>
      <c r="F10" s="78">
        <f t="shared" si="7"/>
        <v>301.56</v>
      </c>
      <c r="G10" s="16">
        <v>37.572690000000001</v>
      </c>
      <c r="H10" s="80">
        <f t="shared" si="0"/>
        <v>11330.420396400001</v>
      </c>
      <c r="I10" s="78">
        <f t="shared" si="1"/>
        <v>0</v>
      </c>
      <c r="J10" s="79">
        <f t="shared" si="8"/>
        <v>75.145380000000003</v>
      </c>
      <c r="K10" s="80">
        <f t="shared" si="9"/>
        <v>0</v>
      </c>
      <c r="L10" s="78">
        <f t="shared" si="2"/>
        <v>36.44</v>
      </c>
      <c r="M10" s="79">
        <f t="shared" si="3"/>
        <v>30.8096058</v>
      </c>
      <c r="N10" s="19">
        <f t="shared" si="4"/>
        <v>1122.7020353519999</v>
      </c>
      <c r="O10" s="81">
        <f t="shared" si="5"/>
        <v>12453.122431752001</v>
      </c>
    </row>
    <row r="11" spans="2:23" x14ac:dyDescent="0.25">
      <c r="B11" s="25" t="s">
        <v>21</v>
      </c>
      <c r="C11" s="77">
        <f>Simul_Ponta!$B$13</f>
        <v>338</v>
      </c>
      <c r="D11" s="77">
        <f t="shared" si="6"/>
        <v>354.90000000000003</v>
      </c>
      <c r="E11" s="15">
        <v>283.92</v>
      </c>
      <c r="F11" s="78">
        <f t="shared" si="7"/>
        <v>283.92</v>
      </c>
      <c r="G11" s="16">
        <v>38.036630000000002</v>
      </c>
      <c r="H11" s="80">
        <f t="shared" si="0"/>
        <v>10799.359989600001</v>
      </c>
      <c r="I11" s="78">
        <f t="shared" si="1"/>
        <v>0</v>
      </c>
      <c r="J11" s="79">
        <f t="shared" si="8"/>
        <v>76.073260000000005</v>
      </c>
      <c r="K11" s="80">
        <f t="shared" si="9"/>
        <v>0</v>
      </c>
      <c r="L11" s="78">
        <f t="shared" si="2"/>
        <v>54.079999999999984</v>
      </c>
      <c r="M11" s="79">
        <f t="shared" si="3"/>
        <v>31.190036600000003</v>
      </c>
      <c r="N11" s="19">
        <f t="shared" si="4"/>
        <v>1686.7571793279997</v>
      </c>
      <c r="O11" s="81">
        <f t="shared" si="5"/>
        <v>12486.117168928002</v>
      </c>
    </row>
    <row r="12" spans="2:23" x14ac:dyDescent="0.25">
      <c r="B12" s="25" t="s">
        <v>22</v>
      </c>
      <c r="C12" s="77">
        <f>Simul_Ponta!$B$13</f>
        <v>338</v>
      </c>
      <c r="D12" s="77">
        <f t="shared" si="6"/>
        <v>354.90000000000003</v>
      </c>
      <c r="E12" s="15">
        <v>298.2</v>
      </c>
      <c r="F12" s="78">
        <f t="shared" si="7"/>
        <v>298.2</v>
      </c>
      <c r="G12" s="16">
        <v>37.596359999999997</v>
      </c>
      <c r="H12" s="80">
        <f t="shared" si="0"/>
        <v>11211.234551999998</v>
      </c>
      <c r="I12" s="78">
        <f t="shared" si="1"/>
        <v>0</v>
      </c>
      <c r="J12" s="79">
        <f t="shared" si="8"/>
        <v>75.192719999999994</v>
      </c>
      <c r="K12" s="80">
        <f t="shared" si="9"/>
        <v>0</v>
      </c>
      <c r="L12" s="78">
        <f t="shared" si="2"/>
        <v>39.800000000000011</v>
      </c>
      <c r="M12" s="79">
        <f t="shared" si="3"/>
        <v>30.829015199999997</v>
      </c>
      <c r="N12" s="19">
        <f t="shared" si="4"/>
        <v>1226.9948049600002</v>
      </c>
      <c r="O12" s="81">
        <f t="shared" si="5"/>
        <v>12438.229356959999</v>
      </c>
    </row>
    <row r="13" spans="2:23" x14ac:dyDescent="0.25">
      <c r="B13" s="25" t="s">
        <v>23</v>
      </c>
      <c r="C13" s="77">
        <f>Simul_Ponta!$B$13</f>
        <v>338</v>
      </c>
      <c r="D13" s="77">
        <f t="shared" si="6"/>
        <v>354.90000000000003</v>
      </c>
      <c r="E13" s="15">
        <v>255.36</v>
      </c>
      <c r="F13" s="78">
        <f t="shared" si="7"/>
        <v>255.36</v>
      </c>
      <c r="G13" s="16">
        <v>37.564790000000002</v>
      </c>
      <c r="H13" s="80">
        <f t="shared" si="0"/>
        <v>9592.5447744000012</v>
      </c>
      <c r="I13" s="78">
        <f t="shared" si="1"/>
        <v>0</v>
      </c>
      <c r="J13" s="79">
        <f t="shared" si="8"/>
        <v>75.129580000000004</v>
      </c>
      <c r="K13" s="80">
        <f t="shared" si="9"/>
        <v>0</v>
      </c>
      <c r="L13" s="78">
        <f t="shared" si="2"/>
        <v>82.639999999999986</v>
      </c>
      <c r="M13" s="79">
        <f t="shared" si="3"/>
        <v>30.803127800000002</v>
      </c>
      <c r="N13" s="19">
        <f t="shared" si="4"/>
        <v>2545.5704813919997</v>
      </c>
      <c r="O13" s="81">
        <f t="shared" si="5"/>
        <v>12138.115255792001</v>
      </c>
    </row>
    <row r="14" spans="2:23" x14ac:dyDescent="0.25">
      <c r="B14" s="25" t="s">
        <v>24</v>
      </c>
      <c r="C14" s="77">
        <f>Simul_Ponta!$B$13</f>
        <v>338</v>
      </c>
      <c r="D14" s="77">
        <f t="shared" si="6"/>
        <v>354.90000000000003</v>
      </c>
      <c r="E14" s="15">
        <v>254.52</v>
      </c>
      <c r="F14" s="78">
        <f t="shared" si="7"/>
        <v>254.52</v>
      </c>
      <c r="G14" s="16">
        <v>38.13402</v>
      </c>
      <c r="H14" s="80">
        <f t="shared" si="0"/>
        <v>9705.8707704000008</v>
      </c>
      <c r="I14" s="78">
        <f t="shared" si="1"/>
        <v>0</v>
      </c>
      <c r="J14" s="79">
        <f t="shared" si="8"/>
        <v>76.268039999999999</v>
      </c>
      <c r="K14" s="80">
        <f t="shared" si="9"/>
        <v>0</v>
      </c>
      <c r="L14" s="78">
        <f t="shared" si="2"/>
        <v>83.47999999999999</v>
      </c>
      <c r="M14" s="79">
        <f t="shared" si="3"/>
        <v>31.2698964</v>
      </c>
      <c r="N14" s="19">
        <f t="shared" si="4"/>
        <v>2610.4109514719999</v>
      </c>
      <c r="O14" s="81">
        <f t="shared" si="5"/>
        <v>12316.281721872001</v>
      </c>
    </row>
    <row r="15" spans="2:23" x14ac:dyDescent="0.25">
      <c r="B15" s="25" t="s">
        <v>25</v>
      </c>
      <c r="C15" s="77">
        <f>Simul_Ponta!$B$13</f>
        <v>338</v>
      </c>
      <c r="D15" s="77">
        <f t="shared" si="6"/>
        <v>354.90000000000003</v>
      </c>
      <c r="E15" s="15">
        <v>213.36</v>
      </c>
      <c r="F15" s="78">
        <f t="shared" si="7"/>
        <v>213.36</v>
      </c>
      <c r="G15" s="16">
        <v>37.360500000000002</v>
      </c>
      <c r="H15" s="80">
        <f t="shared" si="0"/>
        <v>7971.236280000001</v>
      </c>
      <c r="I15" s="78">
        <f t="shared" si="1"/>
        <v>0</v>
      </c>
      <c r="J15" s="79">
        <f t="shared" si="8"/>
        <v>74.721000000000004</v>
      </c>
      <c r="K15" s="80">
        <f t="shared" si="9"/>
        <v>0</v>
      </c>
      <c r="L15" s="78">
        <f t="shared" si="2"/>
        <v>124.63999999999999</v>
      </c>
      <c r="M15" s="79">
        <f t="shared" si="3"/>
        <v>30.63561</v>
      </c>
      <c r="N15" s="19">
        <f t="shared" si="4"/>
        <v>3818.4224303999995</v>
      </c>
      <c r="O15" s="81">
        <f t="shared" si="5"/>
        <v>11789.658710400001</v>
      </c>
    </row>
    <row r="16" spans="2:23" x14ac:dyDescent="0.25">
      <c r="B16" s="25" t="s">
        <v>26</v>
      </c>
      <c r="C16" s="77">
        <f>Simul_Ponta!$B$13</f>
        <v>338</v>
      </c>
      <c r="D16" s="77">
        <f t="shared" si="6"/>
        <v>354.90000000000003</v>
      </c>
      <c r="E16" s="15">
        <v>228.48</v>
      </c>
      <c r="F16" s="78">
        <f t="shared" si="7"/>
        <v>228.48</v>
      </c>
      <c r="G16" s="16">
        <v>40.516889999999997</v>
      </c>
      <c r="H16" s="80">
        <f t="shared" si="0"/>
        <v>9257.2990271999988</v>
      </c>
      <c r="I16" s="78">
        <f t="shared" si="1"/>
        <v>0</v>
      </c>
      <c r="J16" s="79">
        <f t="shared" si="8"/>
        <v>81.033779999999993</v>
      </c>
      <c r="K16" s="80">
        <f t="shared" si="9"/>
        <v>0</v>
      </c>
      <c r="L16" s="78">
        <f t="shared" si="2"/>
        <v>109.52000000000001</v>
      </c>
      <c r="M16" s="79">
        <f t="shared" si="3"/>
        <v>33.223849799999996</v>
      </c>
      <c r="N16" s="19">
        <f t="shared" si="4"/>
        <v>3638.676030096</v>
      </c>
      <c r="O16" s="81">
        <f t="shared" si="5"/>
        <v>12895.975057295998</v>
      </c>
    </row>
    <row r="17" spans="2:19" x14ac:dyDescent="0.25">
      <c r="B17" s="25" t="s">
        <v>27</v>
      </c>
      <c r="C17" s="77">
        <f>Simul_Ponta!$B$13</f>
        <v>338</v>
      </c>
      <c r="D17" s="77">
        <f t="shared" si="6"/>
        <v>354.90000000000003</v>
      </c>
      <c r="E17" s="15">
        <v>252</v>
      </c>
      <c r="F17" s="78">
        <f t="shared" si="7"/>
        <v>252</v>
      </c>
      <c r="G17" s="16">
        <v>20.45393</v>
      </c>
      <c r="H17" s="80">
        <f t="shared" si="0"/>
        <v>5154.3903600000003</v>
      </c>
      <c r="I17" s="78">
        <f t="shared" si="1"/>
        <v>0</v>
      </c>
      <c r="J17" s="79">
        <f t="shared" si="8"/>
        <v>40.907859999999999</v>
      </c>
      <c r="K17" s="80">
        <f t="shared" si="9"/>
        <v>0</v>
      </c>
      <c r="L17" s="78">
        <f t="shared" si="2"/>
        <v>86</v>
      </c>
      <c r="M17" s="79">
        <f t="shared" si="3"/>
        <v>16.772222599999999</v>
      </c>
      <c r="N17" s="19">
        <f t="shared" si="4"/>
        <v>1442.4111435999998</v>
      </c>
      <c r="O17" s="81">
        <f t="shared" si="5"/>
        <v>6596.8015035999997</v>
      </c>
    </row>
    <row r="18" spans="2:19" x14ac:dyDescent="0.25">
      <c r="B18" s="26" t="s">
        <v>28</v>
      </c>
      <c r="C18" s="77">
        <f>Simul_Ponta!$B$13</f>
        <v>338</v>
      </c>
      <c r="D18" s="82">
        <f t="shared" si="6"/>
        <v>354.90000000000003</v>
      </c>
      <c r="E18" s="17">
        <v>247.8</v>
      </c>
      <c r="F18" s="83">
        <f t="shared" si="7"/>
        <v>247.8</v>
      </c>
      <c r="G18" s="18">
        <v>20.490770000000001</v>
      </c>
      <c r="H18" s="85">
        <f t="shared" si="0"/>
        <v>5077.6128060000001</v>
      </c>
      <c r="I18" s="83">
        <f t="shared" si="1"/>
        <v>0</v>
      </c>
      <c r="J18" s="79">
        <f t="shared" si="8"/>
        <v>40.981540000000003</v>
      </c>
      <c r="K18" s="85">
        <f t="shared" si="9"/>
        <v>0</v>
      </c>
      <c r="L18" s="83">
        <f t="shared" si="2"/>
        <v>90.199999999999989</v>
      </c>
      <c r="M18" s="84">
        <f t="shared" si="3"/>
        <v>16.8024314</v>
      </c>
      <c r="N18" s="19">
        <f t="shared" si="4"/>
        <v>1515.5793122799998</v>
      </c>
      <c r="O18" s="81">
        <f t="shared" si="5"/>
        <v>6593.1921182799997</v>
      </c>
    </row>
    <row r="19" spans="2:19" ht="24" customHeight="1" x14ac:dyDescent="0.25">
      <c r="B19" s="59"/>
      <c r="C19" s="60"/>
      <c r="D19" s="60"/>
      <c r="E19" s="60"/>
      <c r="F19" s="60"/>
      <c r="G19" s="60"/>
      <c r="H19" s="61"/>
      <c r="I19" s="60"/>
      <c r="J19" s="60"/>
      <c r="K19" s="61"/>
      <c r="L19" s="60"/>
      <c r="M19" s="62"/>
      <c r="N19" s="63" t="s">
        <v>30</v>
      </c>
      <c r="O19" s="64">
        <f>SUM(O7:O18)</f>
        <v>136632.159223808</v>
      </c>
      <c r="S19" s="169"/>
    </row>
    <row r="20" spans="2:19" ht="5.25" customHeight="1" x14ac:dyDescent="0.25">
      <c r="B20" s="50"/>
      <c r="O20" s="52"/>
    </row>
    <row r="21" spans="2:19" ht="23.25" x14ac:dyDescent="0.25">
      <c r="B21" s="65"/>
      <c r="C21" s="66"/>
      <c r="D21" s="66"/>
      <c r="E21" s="66"/>
      <c r="F21" s="66" t="s">
        <v>35</v>
      </c>
      <c r="G21" s="66"/>
      <c r="H21" s="66"/>
      <c r="I21" s="66"/>
      <c r="J21" s="66"/>
      <c r="K21" s="66"/>
      <c r="L21" s="66"/>
      <c r="M21" s="66"/>
      <c r="N21" s="66"/>
      <c r="O21" s="67"/>
    </row>
    <row r="22" spans="2:19" ht="48" x14ac:dyDescent="0.25">
      <c r="B22" s="56" t="s">
        <v>29</v>
      </c>
      <c r="C22" s="4" t="s">
        <v>0</v>
      </c>
      <c r="D22" s="4" t="s">
        <v>13</v>
      </c>
      <c r="E22" s="4" t="s">
        <v>1</v>
      </c>
      <c r="F22" s="4" t="s">
        <v>34</v>
      </c>
      <c r="G22" s="4" t="s">
        <v>2</v>
      </c>
      <c r="H22" s="4" t="s">
        <v>3</v>
      </c>
      <c r="I22" s="4" t="s">
        <v>16</v>
      </c>
      <c r="J22" s="4" t="s">
        <v>14</v>
      </c>
      <c r="K22" s="4" t="s">
        <v>15</v>
      </c>
      <c r="L22" s="4" t="s">
        <v>4</v>
      </c>
      <c r="M22" s="5" t="s">
        <v>5</v>
      </c>
      <c r="N22" s="5" t="s">
        <v>6</v>
      </c>
      <c r="O22" s="58" t="s">
        <v>43</v>
      </c>
    </row>
    <row r="23" spans="2:19" x14ac:dyDescent="0.25">
      <c r="B23" s="76" t="str">
        <f>B7</f>
        <v>out</v>
      </c>
      <c r="C23" s="77">
        <f>Simul_Ponta!$B$28</f>
        <v>290</v>
      </c>
      <c r="D23" s="77">
        <f>C23*1.05</f>
        <v>304.5</v>
      </c>
      <c r="E23" s="78">
        <f>E7</f>
        <v>257.88</v>
      </c>
      <c r="F23" s="78">
        <f>IF(E23&gt;D23,C23,E23)</f>
        <v>257.88</v>
      </c>
      <c r="G23" s="79">
        <f>G7</f>
        <v>37.996200000000002</v>
      </c>
      <c r="H23" s="80">
        <f t="shared" ref="H23:H34" si="10">E23*G23</f>
        <v>9798.4600559999999</v>
      </c>
      <c r="I23" s="78">
        <f t="shared" ref="I23:I34" si="11">IF(E23&gt;D23,E23-C23,0)</f>
        <v>0</v>
      </c>
      <c r="J23" s="79">
        <f>G23*2</f>
        <v>75.992400000000004</v>
      </c>
      <c r="K23" s="80">
        <f>I23*J23</f>
        <v>0</v>
      </c>
      <c r="L23" s="78">
        <f t="shared" ref="L23:L34" si="12">IF(E23&gt;C23,0,C23-E23)</f>
        <v>32.120000000000005</v>
      </c>
      <c r="M23" s="79">
        <f t="shared" ref="M23:M34" si="13">G23-(G23*18%)</f>
        <v>31.156884000000002</v>
      </c>
      <c r="N23" s="19">
        <f t="shared" ref="N23:N34" si="14">L23*M23</f>
        <v>1000.7591140800002</v>
      </c>
      <c r="O23" s="81">
        <f t="shared" ref="O23:O34" si="15">H23+K23+N23</f>
        <v>10799.219170079999</v>
      </c>
      <c r="Q23" s="68"/>
    </row>
    <row r="24" spans="2:19" x14ac:dyDescent="0.25">
      <c r="B24" s="76" t="str">
        <f t="shared" ref="B24:B34" si="16">B8</f>
        <v>nov</v>
      </c>
      <c r="C24" s="77">
        <f>Simul_Ponta!$B$28</f>
        <v>290</v>
      </c>
      <c r="D24" s="77">
        <f t="shared" ref="D24:D34" si="17">C24*1.05</f>
        <v>304.5</v>
      </c>
      <c r="E24" s="78">
        <f t="shared" ref="E24:E34" si="18">E8</f>
        <v>265.44</v>
      </c>
      <c r="F24" s="78">
        <f t="shared" ref="F24:F34" si="19">IF(E24&gt;D24,C24,E24)</f>
        <v>265.44</v>
      </c>
      <c r="G24" s="79">
        <f t="shared" ref="G24:G34" si="20">G8</f>
        <v>37.984050000000003</v>
      </c>
      <c r="H24" s="80">
        <f t="shared" si="10"/>
        <v>10082.486232000001</v>
      </c>
      <c r="I24" s="78">
        <f t="shared" si="11"/>
        <v>0</v>
      </c>
      <c r="J24" s="79">
        <f t="shared" ref="J24:J34" si="21">G24*2</f>
        <v>75.968100000000007</v>
      </c>
      <c r="K24" s="80">
        <f t="shared" ref="K24:K34" si="22">I24*J24</f>
        <v>0</v>
      </c>
      <c r="L24" s="78">
        <f t="shared" si="12"/>
        <v>24.560000000000002</v>
      </c>
      <c r="M24" s="79">
        <f t="shared" si="13"/>
        <v>31.146921000000003</v>
      </c>
      <c r="N24" s="19">
        <f t="shared" si="14"/>
        <v>764.96837976000018</v>
      </c>
      <c r="O24" s="81">
        <f t="shared" si="15"/>
        <v>10847.454611760002</v>
      </c>
    </row>
    <row r="25" spans="2:19" x14ac:dyDescent="0.25">
      <c r="B25" s="76" t="str">
        <f t="shared" si="16"/>
        <v>dez</v>
      </c>
      <c r="C25" s="77">
        <f>Simul_Ponta!$B$28</f>
        <v>290</v>
      </c>
      <c r="D25" s="77">
        <f t="shared" si="17"/>
        <v>304.5</v>
      </c>
      <c r="E25" s="78">
        <f t="shared" si="18"/>
        <v>258.72000000000003</v>
      </c>
      <c r="F25" s="78">
        <f t="shared" si="19"/>
        <v>258.72000000000003</v>
      </c>
      <c r="G25" s="79">
        <f t="shared" si="20"/>
        <v>37.955779999999997</v>
      </c>
      <c r="H25" s="80">
        <f t="shared" si="10"/>
        <v>9819.9194016000001</v>
      </c>
      <c r="I25" s="78">
        <f t="shared" si="11"/>
        <v>0</v>
      </c>
      <c r="J25" s="79">
        <f t="shared" si="21"/>
        <v>75.911559999999994</v>
      </c>
      <c r="K25" s="80">
        <f t="shared" si="22"/>
        <v>0</v>
      </c>
      <c r="L25" s="78">
        <f t="shared" si="12"/>
        <v>31.279999999999973</v>
      </c>
      <c r="M25" s="79">
        <f t="shared" si="13"/>
        <v>31.123739599999997</v>
      </c>
      <c r="N25" s="19">
        <f t="shared" si="14"/>
        <v>973.55057468799907</v>
      </c>
      <c r="O25" s="81">
        <f t="shared" si="15"/>
        <v>10793.469976287999</v>
      </c>
    </row>
    <row r="26" spans="2:19" x14ac:dyDescent="0.25">
      <c r="B26" s="76" t="str">
        <f t="shared" si="16"/>
        <v>jan</v>
      </c>
      <c r="C26" s="77">
        <f>Simul_Ponta!$B$28</f>
        <v>290</v>
      </c>
      <c r="D26" s="77">
        <f t="shared" si="17"/>
        <v>304.5</v>
      </c>
      <c r="E26" s="78">
        <f t="shared" si="18"/>
        <v>301.56</v>
      </c>
      <c r="F26" s="78">
        <f t="shared" si="19"/>
        <v>301.56</v>
      </c>
      <c r="G26" s="79">
        <f t="shared" si="20"/>
        <v>37.572690000000001</v>
      </c>
      <c r="H26" s="80">
        <f t="shared" si="10"/>
        <v>11330.420396400001</v>
      </c>
      <c r="I26" s="78">
        <f t="shared" si="11"/>
        <v>0</v>
      </c>
      <c r="J26" s="79">
        <f t="shared" si="21"/>
        <v>75.145380000000003</v>
      </c>
      <c r="K26" s="80">
        <f t="shared" si="22"/>
        <v>0</v>
      </c>
      <c r="L26" s="78">
        <f t="shared" si="12"/>
        <v>0</v>
      </c>
      <c r="M26" s="79">
        <f t="shared" si="13"/>
        <v>30.8096058</v>
      </c>
      <c r="N26" s="19">
        <f t="shared" si="14"/>
        <v>0</v>
      </c>
      <c r="O26" s="81">
        <f t="shared" si="15"/>
        <v>11330.420396400001</v>
      </c>
    </row>
    <row r="27" spans="2:19" x14ac:dyDescent="0.25">
      <c r="B27" s="76" t="str">
        <f t="shared" si="16"/>
        <v>fev</v>
      </c>
      <c r="C27" s="77">
        <f>Simul_Ponta!$B$28</f>
        <v>290</v>
      </c>
      <c r="D27" s="77">
        <f t="shared" si="17"/>
        <v>304.5</v>
      </c>
      <c r="E27" s="78">
        <f t="shared" si="18"/>
        <v>283.92</v>
      </c>
      <c r="F27" s="78">
        <f t="shared" si="19"/>
        <v>283.92</v>
      </c>
      <c r="G27" s="79">
        <f t="shared" si="20"/>
        <v>38.036630000000002</v>
      </c>
      <c r="H27" s="80">
        <f t="shared" si="10"/>
        <v>10799.359989600001</v>
      </c>
      <c r="I27" s="78">
        <f t="shared" si="11"/>
        <v>0</v>
      </c>
      <c r="J27" s="79">
        <f t="shared" si="21"/>
        <v>76.073260000000005</v>
      </c>
      <c r="K27" s="80">
        <f t="shared" si="22"/>
        <v>0</v>
      </c>
      <c r="L27" s="78">
        <f t="shared" si="12"/>
        <v>6.0799999999999841</v>
      </c>
      <c r="M27" s="79">
        <f t="shared" si="13"/>
        <v>31.190036600000003</v>
      </c>
      <c r="N27" s="19">
        <f t="shared" si="14"/>
        <v>189.63542252799951</v>
      </c>
      <c r="O27" s="81">
        <f t="shared" si="15"/>
        <v>10988.995412128001</v>
      </c>
    </row>
    <row r="28" spans="2:19" x14ac:dyDescent="0.25">
      <c r="B28" s="76" t="str">
        <f t="shared" si="16"/>
        <v>mar</v>
      </c>
      <c r="C28" s="77">
        <f>Simul_Ponta!$B$28</f>
        <v>290</v>
      </c>
      <c r="D28" s="77">
        <f t="shared" si="17"/>
        <v>304.5</v>
      </c>
      <c r="E28" s="78">
        <f t="shared" si="18"/>
        <v>298.2</v>
      </c>
      <c r="F28" s="78">
        <f t="shared" si="19"/>
        <v>298.2</v>
      </c>
      <c r="G28" s="79">
        <f t="shared" si="20"/>
        <v>37.596359999999997</v>
      </c>
      <c r="H28" s="80">
        <f t="shared" si="10"/>
        <v>11211.234551999998</v>
      </c>
      <c r="I28" s="78">
        <f t="shared" si="11"/>
        <v>0</v>
      </c>
      <c r="J28" s="79">
        <f t="shared" si="21"/>
        <v>75.192719999999994</v>
      </c>
      <c r="K28" s="80">
        <f t="shared" si="22"/>
        <v>0</v>
      </c>
      <c r="L28" s="78">
        <f t="shared" si="12"/>
        <v>0</v>
      </c>
      <c r="M28" s="79">
        <f t="shared" si="13"/>
        <v>30.829015199999997</v>
      </c>
      <c r="N28" s="19">
        <f t="shared" si="14"/>
        <v>0</v>
      </c>
      <c r="O28" s="81">
        <f t="shared" si="15"/>
        <v>11211.234551999998</v>
      </c>
    </row>
    <row r="29" spans="2:19" x14ac:dyDescent="0.25">
      <c r="B29" s="76" t="str">
        <f t="shared" si="16"/>
        <v>abr</v>
      </c>
      <c r="C29" s="77">
        <f>Simul_Ponta!$B$28</f>
        <v>290</v>
      </c>
      <c r="D29" s="77">
        <f t="shared" si="17"/>
        <v>304.5</v>
      </c>
      <c r="E29" s="78">
        <f t="shared" si="18"/>
        <v>255.36</v>
      </c>
      <c r="F29" s="78">
        <f t="shared" si="19"/>
        <v>255.36</v>
      </c>
      <c r="G29" s="79">
        <f t="shared" si="20"/>
        <v>37.564790000000002</v>
      </c>
      <c r="H29" s="80">
        <f t="shared" si="10"/>
        <v>9592.5447744000012</v>
      </c>
      <c r="I29" s="78">
        <f t="shared" si="11"/>
        <v>0</v>
      </c>
      <c r="J29" s="79">
        <f t="shared" si="21"/>
        <v>75.129580000000004</v>
      </c>
      <c r="K29" s="80">
        <f t="shared" si="22"/>
        <v>0</v>
      </c>
      <c r="L29" s="78">
        <f t="shared" si="12"/>
        <v>34.639999999999986</v>
      </c>
      <c r="M29" s="79">
        <f t="shared" si="13"/>
        <v>30.803127800000002</v>
      </c>
      <c r="N29" s="19">
        <f t="shared" si="14"/>
        <v>1067.0203469919998</v>
      </c>
      <c r="O29" s="81">
        <f t="shared" si="15"/>
        <v>10659.565121392001</v>
      </c>
    </row>
    <row r="30" spans="2:19" x14ac:dyDescent="0.25">
      <c r="B30" s="76" t="str">
        <f t="shared" si="16"/>
        <v>mai</v>
      </c>
      <c r="C30" s="77">
        <f>Simul_Ponta!$B$28</f>
        <v>290</v>
      </c>
      <c r="D30" s="77">
        <f t="shared" si="17"/>
        <v>304.5</v>
      </c>
      <c r="E30" s="78">
        <f t="shared" si="18"/>
        <v>254.52</v>
      </c>
      <c r="F30" s="78">
        <f t="shared" si="19"/>
        <v>254.52</v>
      </c>
      <c r="G30" s="79">
        <f t="shared" si="20"/>
        <v>38.13402</v>
      </c>
      <c r="H30" s="80">
        <f t="shared" si="10"/>
        <v>9705.8707704000008</v>
      </c>
      <c r="I30" s="78">
        <f t="shared" si="11"/>
        <v>0</v>
      </c>
      <c r="J30" s="79">
        <f t="shared" si="21"/>
        <v>76.268039999999999</v>
      </c>
      <c r="K30" s="80">
        <f t="shared" si="22"/>
        <v>0</v>
      </c>
      <c r="L30" s="78">
        <f t="shared" si="12"/>
        <v>35.47999999999999</v>
      </c>
      <c r="M30" s="79">
        <f t="shared" si="13"/>
        <v>31.2698964</v>
      </c>
      <c r="N30" s="19">
        <f t="shared" si="14"/>
        <v>1109.4559242719997</v>
      </c>
      <c r="O30" s="81">
        <f t="shared" si="15"/>
        <v>10815.326694672</v>
      </c>
    </row>
    <row r="31" spans="2:19" x14ac:dyDescent="0.25">
      <c r="B31" s="76" t="str">
        <f t="shared" si="16"/>
        <v>jun</v>
      </c>
      <c r="C31" s="77">
        <f>Simul_Ponta!$B$28</f>
        <v>290</v>
      </c>
      <c r="D31" s="77">
        <f t="shared" si="17"/>
        <v>304.5</v>
      </c>
      <c r="E31" s="78">
        <f t="shared" si="18"/>
        <v>213.36</v>
      </c>
      <c r="F31" s="78">
        <f t="shared" si="19"/>
        <v>213.36</v>
      </c>
      <c r="G31" s="79">
        <f t="shared" si="20"/>
        <v>37.360500000000002</v>
      </c>
      <c r="H31" s="80">
        <f t="shared" si="10"/>
        <v>7971.236280000001</v>
      </c>
      <c r="I31" s="78">
        <f t="shared" si="11"/>
        <v>0</v>
      </c>
      <c r="J31" s="79">
        <f t="shared" si="21"/>
        <v>74.721000000000004</v>
      </c>
      <c r="K31" s="80">
        <f t="shared" si="22"/>
        <v>0</v>
      </c>
      <c r="L31" s="78">
        <f t="shared" si="12"/>
        <v>76.639999999999986</v>
      </c>
      <c r="M31" s="79">
        <f t="shared" si="13"/>
        <v>30.63561</v>
      </c>
      <c r="N31" s="19">
        <f t="shared" si="14"/>
        <v>2347.9131503999997</v>
      </c>
      <c r="O31" s="81">
        <f t="shared" si="15"/>
        <v>10319.149430400001</v>
      </c>
    </row>
    <row r="32" spans="2:19" x14ac:dyDescent="0.25">
      <c r="B32" s="76" t="str">
        <f t="shared" si="16"/>
        <v>jul</v>
      </c>
      <c r="C32" s="77">
        <f>Simul_Ponta!$B$28</f>
        <v>290</v>
      </c>
      <c r="D32" s="77">
        <f t="shared" si="17"/>
        <v>304.5</v>
      </c>
      <c r="E32" s="78">
        <f t="shared" si="18"/>
        <v>228.48</v>
      </c>
      <c r="F32" s="78">
        <f t="shared" si="19"/>
        <v>228.48</v>
      </c>
      <c r="G32" s="79">
        <f t="shared" si="20"/>
        <v>40.516889999999997</v>
      </c>
      <c r="H32" s="80">
        <f t="shared" si="10"/>
        <v>9257.2990271999988</v>
      </c>
      <c r="I32" s="78">
        <f t="shared" si="11"/>
        <v>0</v>
      </c>
      <c r="J32" s="79">
        <f t="shared" si="21"/>
        <v>81.033779999999993</v>
      </c>
      <c r="K32" s="80">
        <f t="shared" si="22"/>
        <v>0</v>
      </c>
      <c r="L32" s="78">
        <f t="shared" si="12"/>
        <v>61.52000000000001</v>
      </c>
      <c r="M32" s="79">
        <f t="shared" si="13"/>
        <v>33.223849799999996</v>
      </c>
      <c r="N32" s="19">
        <f t="shared" si="14"/>
        <v>2043.9312396960001</v>
      </c>
      <c r="O32" s="81">
        <f t="shared" si="15"/>
        <v>11301.230266895998</v>
      </c>
    </row>
    <row r="33" spans="2:15" x14ac:dyDescent="0.25">
      <c r="B33" s="76" t="str">
        <f t="shared" si="16"/>
        <v>ago</v>
      </c>
      <c r="C33" s="77">
        <f>Simul_Ponta!$B$28</f>
        <v>290</v>
      </c>
      <c r="D33" s="77">
        <f t="shared" si="17"/>
        <v>304.5</v>
      </c>
      <c r="E33" s="78">
        <f t="shared" si="18"/>
        <v>252</v>
      </c>
      <c r="F33" s="78">
        <f t="shared" si="19"/>
        <v>252</v>
      </c>
      <c r="G33" s="79">
        <f t="shared" si="20"/>
        <v>20.45393</v>
      </c>
      <c r="H33" s="80">
        <f t="shared" si="10"/>
        <v>5154.3903600000003</v>
      </c>
      <c r="I33" s="78">
        <f t="shared" si="11"/>
        <v>0</v>
      </c>
      <c r="J33" s="79">
        <f t="shared" si="21"/>
        <v>40.907859999999999</v>
      </c>
      <c r="K33" s="80">
        <f t="shared" si="22"/>
        <v>0</v>
      </c>
      <c r="L33" s="78">
        <f t="shared" si="12"/>
        <v>38</v>
      </c>
      <c r="M33" s="79">
        <f t="shared" si="13"/>
        <v>16.772222599999999</v>
      </c>
      <c r="N33" s="19">
        <f t="shared" si="14"/>
        <v>637.34445879999998</v>
      </c>
      <c r="O33" s="81">
        <f t="shared" si="15"/>
        <v>5791.7348188000005</v>
      </c>
    </row>
    <row r="34" spans="2:15" x14ac:dyDescent="0.25">
      <c r="B34" s="76" t="str">
        <f t="shared" si="16"/>
        <v>set</v>
      </c>
      <c r="C34" s="77">
        <f>Simul_Ponta!$B$28</f>
        <v>290</v>
      </c>
      <c r="D34" s="82">
        <f t="shared" si="17"/>
        <v>304.5</v>
      </c>
      <c r="E34" s="78">
        <f t="shared" si="18"/>
        <v>247.8</v>
      </c>
      <c r="F34" s="83">
        <f t="shared" si="19"/>
        <v>247.8</v>
      </c>
      <c r="G34" s="79">
        <f t="shared" si="20"/>
        <v>20.490770000000001</v>
      </c>
      <c r="H34" s="85">
        <f t="shared" si="10"/>
        <v>5077.6128060000001</v>
      </c>
      <c r="I34" s="83">
        <f t="shared" si="11"/>
        <v>0</v>
      </c>
      <c r="J34" s="79">
        <f t="shared" si="21"/>
        <v>40.981540000000003</v>
      </c>
      <c r="K34" s="85">
        <f t="shared" si="22"/>
        <v>0</v>
      </c>
      <c r="L34" s="83">
        <f t="shared" si="12"/>
        <v>42.199999999999989</v>
      </c>
      <c r="M34" s="84">
        <f t="shared" si="13"/>
        <v>16.8024314</v>
      </c>
      <c r="N34" s="19">
        <f t="shared" si="14"/>
        <v>709.0626050799998</v>
      </c>
      <c r="O34" s="81">
        <f t="shared" si="15"/>
        <v>5786.6754110800002</v>
      </c>
    </row>
    <row r="35" spans="2:15" ht="24" customHeight="1" x14ac:dyDescent="0.25">
      <c r="B35" s="69"/>
      <c r="C35" s="70"/>
      <c r="D35" s="70"/>
      <c r="E35" s="70"/>
      <c r="F35" s="70"/>
      <c r="G35" s="70"/>
      <c r="H35" s="71"/>
      <c r="I35" s="70"/>
      <c r="J35" s="70"/>
      <c r="K35" s="71"/>
      <c r="L35" s="70"/>
      <c r="M35" s="72"/>
      <c r="N35" s="73" t="s">
        <v>30</v>
      </c>
      <c r="O35" s="74">
        <f>SUM(O23:O34)</f>
        <v>120644.475861896</v>
      </c>
    </row>
  </sheetData>
  <sheetProtection sheet="1" objects="1" scenarios="1"/>
  <mergeCells count="2">
    <mergeCell ref="B2:O2"/>
    <mergeCell ref="B3:F3"/>
  </mergeCells>
  <phoneticPr fontId="8" type="noConversion"/>
  <pageMargins left="0.75" right="0.75" top="1" bottom="1" header="0.511811023622047" footer="0.511811023622047"/>
  <pageSetup paperSize="9" orientation="portrait" horizontalDpi="300" verticalDpi="300"/>
  <ignoredErrors>
    <ignoredError sqref="I7:I18 F7:F18 I23:I34 E23:E34 G23:G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16A6-A720-4AF2-9D6D-D7E8BD9F53CA}">
  <sheetPr>
    <tabColor theme="4" tint="-0.249977111117893"/>
  </sheetPr>
  <dimension ref="B1:V44"/>
  <sheetViews>
    <sheetView zoomScale="85" zoomScaleNormal="85" workbookViewId="0">
      <selection activeCell="B13" sqref="B13:F15"/>
    </sheetView>
  </sheetViews>
  <sheetFormatPr defaultRowHeight="15" x14ac:dyDescent="0.25"/>
  <cols>
    <col min="1" max="1" width="4" customWidth="1"/>
    <col min="2" max="6" width="9.7109375" customWidth="1"/>
    <col min="7" max="7" width="2.85546875" style="1" customWidth="1"/>
    <col min="8" max="8" width="9.140625" style="1"/>
    <col min="9" max="9" width="8.7109375" style="1" customWidth="1"/>
    <col min="10" max="10" width="9.140625" style="1" bestFit="1"/>
    <col min="11" max="15" width="8.7109375" style="1" customWidth="1"/>
    <col min="17" max="17" width="10.140625" bestFit="1" customWidth="1"/>
  </cols>
  <sheetData>
    <row r="1" spans="2:22" ht="28.5" x14ac:dyDescent="0.25">
      <c r="B1" s="96" t="s">
        <v>39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8"/>
    </row>
    <row r="2" spans="2:22" ht="8.25" customHeight="1" x14ac:dyDescent="0.25"/>
    <row r="3" spans="2:22" s="2" customFormat="1" ht="15.75" customHeight="1" x14ac:dyDescent="0.25">
      <c r="B3" s="99" t="s">
        <v>45</v>
      </c>
      <c r="C3" s="100"/>
      <c r="D3" s="100"/>
      <c r="E3" s="100"/>
      <c r="F3" s="101"/>
    </row>
    <row r="4" spans="2:22" ht="15" customHeight="1" x14ac:dyDescent="0.25">
      <c r="B4" s="102"/>
      <c r="C4" s="103"/>
      <c r="D4" s="103"/>
      <c r="E4" s="103"/>
      <c r="F4" s="104"/>
      <c r="G4"/>
      <c r="H4"/>
      <c r="I4"/>
      <c r="J4"/>
      <c r="K4"/>
      <c r="L4"/>
      <c r="M4"/>
      <c r="N4"/>
      <c r="O4"/>
    </row>
    <row r="5" spans="2:22" ht="15" customHeight="1" x14ac:dyDescent="0.25">
      <c r="B5" s="105"/>
      <c r="C5" s="106"/>
      <c r="D5" s="106"/>
      <c r="E5" s="106"/>
      <c r="F5" s="107"/>
      <c r="G5"/>
      <c r="H5"/>
      <c r="I5"/>
      <c r="J5"/>
      <c r="K5"/>
      <c r="L5"/>
      <c r="M5"/>
      <c r="N5"/>
      <c r="O5"/>
    </row>
    <row r="6" spans="2:22" ht="15" customHeight="1" x14ac:dyDescent="0.25">
      <c r="B6" s="120" t="str">
        <f>Demanda_Ponta!H3</f>
        <v>out</v>
      </c>
      <c r="C6" s="123">
        <f>Demanda_Ponta!I3</f>
        <v>2025</v>
      </c>
      <c r="D6" s="126" t="s">
        <v>47</v>
      </c>
      <c r="E6" s="129" t="str">
        <f>Demanda_Ponta!K3</f>
        <v>set</v>
      </c>
      <c r="F6" s="132">
        <f>Demanda_Ponta!L3</f>
        <v>2026</v>
      </c>
      <c r="G6"/>
      <c r="H6"/>
      <c r="I6"/>
      <c r="J6"/>
      <c r="K6"/>
      <c r="L6"/>
      <c r="M6"/>
      <c r="N6"/>
      <c r="O6"/>
    </row>
    <row r="7" spans="2:22" ht="15" customHeight="1" x14ac:dyDescent="0.25">
      <c r="B7" s="121"/>
      <c r="C7" s="124"/>
      <c r="D7" s="127"/>
      <c r="E7" s="130"/>
      <c r="F7" s="133"/>
      <c r="G7"/>
      <c r="H7"/>
      <c r="I7"/>
      <c r="J7"/>
      <c r="K7"/>
      <c r="L7"/>
      <c r="M7"/>
      <c r="N7"/>
      <c r="O7"/>
    </row>
    <row r="8" spans="2:22" ht="15" customHeight="1" x14ac:dyDescent="0.25">
      <c r="B8" s="122"/>
      <c r="C8" s="125"/>
      <c r="D8" s="128"/>
      <c r="E8" s="131"/>
      <c r="F8" s="134"/>
      <c r="G8"/>
      <c r="H8"/>
      <c r="I8"/>
      <c r="J8"/>
      <c r="K8"/>
      <c r="L8"/>
      <c r="M8"/>
      <c r="N8"/>
      <c r="O8"/>
    </row>
    <row r="9" spans="2:22" ht="8.25" customHeight="1" x14ac:dyDescent="0.25"/>
    <row r="10" spans="2:22" ht="15" customHeight="1" x14ac:dyDescent="0.25">
      <c r="B10" s="99" t="s">
        <v>37</v>
      </c>
      <c r="C10" s="100"/>
      <c r="D10" s="100"/>
      <c r="E10" s="100"/>
      <c r="F10" s="101"/>
      <c r="G10"/>
      <c r="H10"/>
      <c r="I10"/>
      <c r="J10"/>
      <c r="K10"/>
      <c r="L10"/>
      <c r="M10"/>
      <c r="N10"/>
      <c r="O10"/>
    </row>
    <row r="11" spans="2:22" ht="15" customHeight="1" x14ac:dyDescent="0.25">
      <c r="B11" s="102"/>
      <c r="C11" s="103"/>
      <c r="D11" s="103"/>
      <c r="E11" s="103"/>
      <c r="F11" s="104"/>
      <c r="G11"/>
      <c r="H11"/>
      <c r="I11"/>
      <c r="J11"/>
      <c r="K11"/>
      <c r="L11"/>
      <c r="M11"/>
      <c r="N11"/>
      <c r="O11"/>
    </row>
    <row r="12" spans="2:22" ht="15" customHeight="1" x14ac:dyDescent="0.25">
      <c r="B12" s="105"/>
      <c r="C12" s="106"/>
      <c r="D12" s="106"/>
      <c r="E12" s="106"/>
      <c r="F12" s="107"/>
      <c r="G12"/>
      <c r="H12"/>
      <c r="I12"/>
      <c r="J12"/>
      <c r="K12"/>
      <c r="L12"/>
      <c r="M12"/>
      <c r="N12"/>
      <c r="O12"/>
      <c r="V12" s="10"/>
    </row>
    <row r="13" spans="2:22" ht="15" customHeight="1" x14ac:dyDescent="0.25">
      <c r="B13" s="108">
        <f>Demanda_Ponta!O3</f>
        <v>338</v>
      </c>
      <c r="C13" s="108"/>
      <c r="D13" s="108"/>
      <c r="E13" s="108"/>
      <c r="F13" s="108"/>
      <c r="G13"/>
      <c r="H13"/>
      <c r="I13"/>
      <c r="J13"/>
      <c r="K13"/>
      <c r="L13"/>
      <c r="M13"/>
      <c r="N13"/>
      <c r="O13"/>
    </row>
    <row r="14" spans="2:22" ht="15" customHeight="1" x14ac:dyDescent="0.25">
      <c r="B14" s="108"/>
      <c r="C14" s="108"/>
      <c r="D14" s="108"/>
      <c r="E14" s="108"/>
      <c r="F14" s="108"/>
      <c r="G14"/>
      <c r="H14"/>
      <c r="I14"/>
      <c r="J14"/>
      <c r="K14"/>
      <c r="L14"/>
      <c r="M14"/>
      <c r="N14"/>
      <c r="O14"/>
    </row>
    <row r="15" spans="2:22" ht="15" customHeight="1" x14ac:dyDescent="0.25">
      <c r="B15" s="108"/>
      <c r="C15" s="108"/>
      <c r="D15" s="108"/>
      <c r="E15" s="108"/>
      <c r="F15" s="108"/>
      <c r="G15"/>
      <c r="H15"/>
      <c r="I15"/>
      <c r="J15"/>
      <c r="K15"/>
      <c r="L15"/>
      <c r="M15"/>
      <c r="N15"/>
      <c r="O15"/>
    </row>
    <row r="16" spans="2:22" ht="8.25" customHeight="1" x14ac:dyDescent="0.25"/>
    <row r="17" spans="2:15" x14ac:dyDescent="0.25">
      <c r="B17" s="99" t="s">
        <v>38</v>
      </c>
      <c r="C17" s="100"/>
      <c r="D17" s="100"/>
      <c r="E17" s="100"/>
      <c r="F17" s="101"/>
      <c r="G17"/>
      <c r="H17"/>
      <c r="I17"/>
      <c r="J17"/>
      <c r="K17"/>
      <c r="L17"/>
      <c r="M17"/>
      <c r="N17"/>
      <c r="O17"/>
    </row>
    <row r="18" spans="2:15" x14ac:dyDescent="0.25">
      <c r="B18" s="102"/>
      <c r="C18" s="103"/>
      <c r="D18" s="103"/>
      <c r="E18" s="103"/>
      <c r="F18" s="104"/>
      <c r="G18"/>
      <c r="H18"/>
      <c r="I18"/>
      <c r="J18"/>
      <c r="K18"/>
      <c r="L18"/>
      <c r="M18"/>
      <c r="N18"/>
      <c r="O18"/>
    </row>
    <row r="19" spans="2:15" s="3" customFormat="1" ht="15.75" x14ac:dyDescent="0.25">
      <c r="B19" s="105"/>
      <c r="C19" s="106"/>
      <c r="D19" s="106"/>
      <c r="E19" s="106"/>
      <c r="F19" s="107"/>
    </row>
    <row r="20" spans="2:15" x14ac:dyDescent="0.25">
      <c r="B20" s="111">
        <f>Demanda_Ponta!O19</f>
        <v>136632.159223808</v>
      </c>
      <c r="C20" s="112"/>
      <c r="D20" s="112"/>
      <c r="E20" s="112"/>
      <c r="F20" s="113"/>
      <c r="G20"/>
      <c r="H20"/>
      <c r="I20"/>
      <c r="J20"/>
      <c r="K20"/>
      <c r="L20"/>
      <c r="M20"/>
      <c r="N20"/>
      <c r="O20"/>
    </row>
    <row r="21" spans="2:15" x14ac:dyDescent="0.25">
      <c r="B21" s="114"/>
      <c r="C21" s="115"/>
      <c r="D21" s="115"/>
      <c r="E21" s="115"/>
      <c r="F21" s="116"/>
      <c r="G21"/>
      <c r="H21"/>
      <c r="I21"/>
      <c r="J21"/>
      <c r="K21"/>
      <c r="L21"/>
      <c r="M21"/>
      <c r="N21"/>
      <c r="O21"/>
    </row>
    <row r="22" spans="2:15" x14ac:dyDescent="0.25">
      <c r="B22" s="117"/>
      <c r="C22" s="118"/>
      <c r="D22" s="118"/>
      <c r="E22" s="118"/>
      <c r="F22" s="119"/>
      <c r="G22"/>
      <c r="H22"/>
      <c r="I22"/>
      <c r="J22"/>
      <c r="K22"/>
      <c r="L22"/>
      <c r="M22"/>
      <c r="N22"/>
      <c r="O22"/>
    </row>
    <row r="23" spans="2:15" x14ac:dyDescent="0.25">
      <c r="G23"/>
      <c r="H23"/>
      <c r="I23"/>
      <c r="J23"/>
      <c r="K23"/>
      <c r="L23"/>
      <c r="M23"/>
      <c r="N23"/>
      <c r="O23"/>
    </row>
    <row r="24" spans="2:15" x14ac:dyDescent="0.25">
      <c r="G24"/>
      <c r="H24"/>
      <c r="I24"/>
      <c r="J24"/>
      <c r="K24"/>
      <c r="L24"/>
      <c r="M24"/>
      <c r="N24"/>
      <c r="O24"/>
    </row>
    <row r="25" spans="2:15" x14ac:dyDescent="0.25">
      <c r="B25" s="109" t="s">
        <v>49</v>
      </c>
      <c r="C25" s="110"/>
      <c r="D25" s="110"/>
      <c r="E25" s="110"/>
      <c r="F25" s="110"/>
      <c r="G25"/>
      <c r="H25"/>
      <c r="I25"/>
      <c r="J25"/>
      <c r="K25"/>
      <c r="L25"/>
      <c r="M25"/>
      <c r="N25"/>
      <c r="O25"/>
    </row>
    <row r="26" spans="2:15" x14ac:dyDescent="0.25">
      <c r="B26" s="110"/>
      <c r="C26" s="110"/>
      <c r="D26" s="110"/>
      <c r="E26" s="110"/>
      <c r="F26" s="110"/>
      <c r="G26"/>
      <c r="H26"/>
      <c r="I26"/>
      <c r="J26"/>
      <c r="K26"/>
      <c r="L26"/>
      <c r="M26"/>
      <c r="N26"/>
      <c r="O26"/>
    </row>
    <row r="27" spans="2:15" x14ac:dyDescent="0.25">
      <c r="B27" s="110"/>
      <c r="C27" s="110"/>
      <c r="D27" s="110"/>
      <c r="E27" s="110"/>
      <c r="F27" s="110"/>
      <c r="G27"/>
      <c r="H27"/>
      <c r="I27"/>
      <c r="J27"/>
      <c r="K27"/>
      <c r="L27"/>
      <c r="M27"/>
      <c r="N27"/>
      <c r="O27"/>
    </row>
    <row r="28" spans="2:15" x14ac:dyDescent="0.25">
      <c r="B28" s="138">
        <v>290</v>
      </c>
      <c r="C28" s="138"/>
      <c r="D28" s="138"/>
      <c r="E28" s="138"/>
      <c r="F28" s="138"/>
      <c r="G28"/>
      <c r="H28"/>
      <c r="I28"/>
      <c r="J28"/>
      <c r="K28"/>
      <c r="L28"/>
      <c r="M28"/>
      <c r="N28"/>
      <c r="O28"/>
    </row>
    <row r="29" spans="2:15" x14ac:dyDescent="0.25">
      <c r="B29" s="138"/>
      <c r="C29" s="138"/>
      <c r="D29" s="138"/>
      <c r="E29" s="138"/>
      <c r="F29" s="138"/>
      <c r="G29"/>
      <c r="H29"/>
      <c r="I29"/>
      <c r="J29"/>
      <c r="K29"/>
      <c r="L29"/>
      <c r="M29"/>
      <c r="N29"/>
      <c r="O29"/>
    </row>
    <row r="30" spans="2:15" x14ac:dyDescent="0.25">
      <c r="B30" s="138"/>
      <c r="C30" s="138"/>
      <c r="D30" s="138"/>
      <c r="E30" s="138"/>
      <c r="F30" s="138"/>
      <c r="G30"/>
      <c r="H30"/>
      <c r="I30"/>
      <c r="J30"/>
      <c r="K30"/>
      <c r="L30"/>
      <c r="M30"/>
      <c r="N30"/>
      <c r="O30"/>
    </row>
    <row r="31" spans="2:15" ht="8.25" customHeight="1" x14ac:dyDescent="0.25"/>
    <row r="32" spans="2:15" ht="15" customHeight="1" x14ac:dyDescent="0.25">
      <c r="B32" s="99" t="s">
        <v>38</v>
      </c>
      <c r="C32" s="100"/>
      <c r="D32" s="100"/>
      <c r="E32" s="100"/>
      <c r="F32" s="101"/>
      <c r="G32"/>
      <c r="H32"/>
      <c r="I32"/>
      <c r="J32"/>
      <c r="K32"/>
      <c r="L32"/>
      <c r="M32"/>
      <c r="N32"/>
      <c r="O32"/>
    </row>
    <row r="33" spans="2:15" ht="15" customHeight="1" x14ac:dyDescent="0.25">
      <c r="B33" s="102"/>
      <c r="C33" s="103"/>
      <c r="D33" s="103"/>
      <c r="E33" s="103"/>
      <c r="F33" s="104"/>
      <c r="G33"/>
      <c r="H33"/>
      <c r="I33"/>
      <c r="J33"/>
      <c r="K33"/>
      <c r="L33"/>
      <c r="M33"/>
      <c r="N33"/>
      <c r="O33"/>
    </row>
    <row r="34" spans="2:15" ht="15" customHeight="1" x14ac:dyDescent="0.25">
      <c r="B34" s="105"/>
      <c r="C34" s="106"/>
      <c r="D34" s="106"/>
      <c r="E34" s="106"/>
      <c r="F34" s="107"/>
      <c r="G34"/>
      <c r="H34"/>
      <c r="I34"/>
      <c r="J34"/>
      <c r="K34"/>
      <c r="L34"/>
      <c r="M34"/>
      <c r="N34"/>
      <c r="O34"/>
    </row>
    <row r="35" spans="2:15" x14ac:dyDescent="0.25">
      <c r="B35" s="135">
        <f>Demanda_Ponta!O35</f>
        <v>120644.475861896</v>
      </c>
      <c r="C35" s="136"/>
      <c r="D35" s="136"/>
      <c r="E35" s="136"/>
      <c r="F35" s="136"/>
      <c r="G35"/>
      <c r="H35"/>
      <c r="I35"/>
      <c r="J35"/>
      <c r="K35"/>
      <c r="L35"/>
      <c r="M35"/>
      <c r="N35"/>
      <c r="O35"/>
    </row>
    <row r="36" spans="2:15" x14ac:dyDescent="0.25">
      <c r="B36" s="136"/>
      <c r="C36" s="136"/>
      <c r="D36" s="136"/>
      <c r="E36" s="136"/>
      <c r="F36" s="136"/>
      <c r="G36"/>
      <c r="H36"/>
      <c r="I36"/>
      <c r="J36"/>
      <c r="K36"/>
      <c r="L36"/>
      <c r="M36"/>
      <c r="N36"/>
      <c r="O36"/>
    </row>
    <row r="37" spans="2:15" x14ac:dyDescent="0.25">
      <c r="B37" s="136"/>
      <c r="C37" s="136"/>
      <c r="D37" s="136"/>
      <c r="E37" s="136"/>
      <c r="F37" s="136"/>
      <c r="G37"/>
      <c r="H37"/>
      <c r="I37"/>
      <c r="J37"/>
      <c r="K37"/>
      <c r="L37"/>
      <c r="M37"/>
      <c r="N37"/>
      <c r="O37"/>
    </row>
    <row r="38" spans="2:15" ht="8.25" customHeight="1" x14ac:dyDescent="0.25"/>
    <row r="39" spans="2:15" ht="15" customHeight="1" x14ac:dyDescent="0.25">
      <c r="B39" s="99" t="s">
        <v>44</v>
      </c>
      <c r="C39" s="100"/>
      <c r="D39" s="100"/>
      <c r="E39" s="100"/>
      <c r="F39" s="101"/>
      <c r="G39"/>
      <c r="H39"/>
      <c r="I39"/>
      <c r="J39"/>
      <c r="K39"/>
      <c r="L39"/>
      <c r="M39"/>
      <c r="N39"/>
      <c r="O39"/>
    </row>
    <row r="40" spans="2:15" s="3" customFormat="1" ht="15.75" customHeight="1" x14ac:dyDescent="0.25">
      <c r="B40" s="102"/>
      <c r="C40" s="103"/>
      <c r="D40" s="103"/>
      <c r="E40" s="103"/>
      <c r="F40" s="104"/>
    </row>
    <row r="41" spans="2:15" ht="15" customHeight="1" x14ac:dyDescent="0.25">
      <c r="B41" s="105"/>
      <c r="C41" s="106"/>
      <c r="D41" s="106"/>
      <c r="E41" s="106"/>
      <c r="F41" s="107"/>
    </row>
    <row r="42" spans="2:15" x14ac:dyDescent="0.25">
      <c r="B42" s="137">
        <f>B20-B35</f>
        <v>15987.683361912001</v>
      </c>
      <c r="C42" s="137"/>
      <c r="D42" s="137"/>
      <c r="E42" s="137"/>
      <c r="F42" s="137"/>
    </row>
    <row r="43" spans="2:15" x14ac:dyDescent="0.25">
      <c r="B43" s="137"/>
      <c r="C43" s="137"/>
      <c r="D43" s="137"/>
      <c r="E43" s="137"/>
      <c r="F43" s="137"/>
    </row>
    <row r="44" spans="2:15" x14ac:dyDescent="0.25">
      <c r="B44" s="137"/>
      <c r="C44" s="137"/>
      <c r="D44" s="137"/>
      <c r="E44" s="137"/>
      <c r="F44" s="137"/>
    </row>
  </sheetData>
  <sheetProtection sheet="1" objects="1" scenarios="1"/>
  <mergeCells count="17">
    <mergeCell ref="B32:F34"/>
    <mergeCell ref="B35:F37"/>
    <mergeCell ref="B39:F41"/>
    <mergeCell ref="B42:F44"/>
    <mergeCell ref="B28:F30"/>
    <mergeCell ref="B1:Q1"/>
    <mergeCell ref="B3:F5"/>
    <mergeCell ref="B10:F12"/>
    <mergeCell ref="B13:F15"/>
    <mergeCell ref="B25:F27"/>
    <mergeCell ref="B17:F19"/>
    <mergeCell ref="B20:F22"/>
    <mergeCell ref="B6:B8"/>
    <mergeCell ref="C6:C8"/>
    <mergeCell ref="D6:D8"/>
    <mergeCell ref="E6:E8"/>
    <mergeCell ref="F6:F8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DCFE-6C38-42EC-B4AC-16401E35E632}">
  <sheetPr>
    <tabColor theme="4" tint="0.79998168889431442"/>
  </sheetPr>
  <dimension ref="B1:W35"/>
  <sheetViews>
    <sheetView tabSelected="1" zoomScaleNormal="100" workbookViewId="0">
      <selection activeCell="I3" sqref="I3"/>
    </sheetView>
  </sheetViews>
  <sheetFormatPr defaultColWidth="9.140625" defaultRowHeight="15" x14ac:dyDescent="0.25"/>
  <cols>
    <col min="1" max="1" width="1.85546875" style="169" customWidth="1"/>
    <col min="2" max="2" width="5.7109375" style="169" customWidth="1"/>
    <col min="3" max="3" width="9.7109375" style="169" customWidth="1"/>
    <col min="4" max="9" width="10.7109375" style="169" customWidth="1"/>
    <col min="10" max="10" width="11.7109375" style="169" customWidth="1"/>
    <col min="11" max="19" width="10.7109375" style="169" customWidth="1"/>
    <col min="20" max="20" width="11.42578125" style="169" bestFit="1" customWidth="1"/>
    <col min="21" max="21" width="11.42578125" style="169" customWidth="1"/>
    <col min="22" max="22" width="10.28515625" style="169" bestFit="1" customWidth="1"/>
    <col min="23" max="23" width="11.42578125" style="169" customWidth="1"/>
    <col min="24" max="25" width="10.7109375" style="169" customWidth="1"/>
    <col min="26" max="26" width="11.42578125" style="169" bestFit="1" customWidth="1"/>
    <col min="27" max="30" width="10.7109375" style="169" customWidth="1"/>
    <col min="31" max="31" width="14" style="169" customWidth="1"/>
    <col min="32" max="16384" width="9.140625" style="169"/>
  </cols>
  <sheetData>
    <row r="1" spans="2:23" ht="6.75" customHeight="1" x14ac:dyDescent="0.25"/>
    <row r="2" spans="2:23" ht="30" customHeight="1" x14ac:dyDescent="0.25">
      <c r="B2" s="170" t="s">
        <v>51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2"/>
    </row>
    <row r="3" spans="2:23" ht="30" customHeight="1" x14ac:dyDescent="0.25">
      <c r="B3" s="173" t="s">
        <v>31</v>
      </c>
      <c r="C3" s="174"/>
      <c r="D3" s="174"/>
      <c r="E3" s="174"/>
      <c r="F3" s="174"/>
      <c r="G3" s="175" t="s">
        <v>46</v>
      </c>
      <c r="H3" s="22" t="str">
        <f>Demanda_Ponta!H3</f>
        <v>out</v>
      </c>
      <c r="I3" s="21">
        <f>Demanda_Ponta!I3</f>
        <v>2025</v>
      </c>
      <c r="J3" s="176" t="s">
        <v>47</v>
      </c>
      <c r="K3" s="22" t="str">
        <f>Demanda_Ponta!K3</f>
        <v>set</v>
      </c>
      <c r="L3" s="23">
        <f>Demanda_Ponta!L3</f>
        <v>2026</v>
      </c>
      <c r="N3" s="177" t="s">
        <v>32</v>
      </c>
      <c r="O3" s="24">
        <v>372</v>
      </c>
    </row>
    <row r="4" spans="2:23" ht="4.5" customHeight="1" x14ac:dyDescent="0.25">
      <c r="B4" s="178"/>
      <c r="E4" s="179"/>
      <c r="F4" s="179"/>
      <c r="I4" s="179"/>
      <c r="O4" s="180"/>
      <c r="T4" s="179"/>
      <c r="W4" s="179"/>
    </row>
    <row r="5" spans="2:23" ht="23.25" x14ac:dyDescent="0.25">
      <c r="B5" s="181"/>
      <c r="C5" s="182"/>
      <c r="D5" s="182"/>
      <c r="E5" s="182"/>
      <c r="F5" s="182"/>
      <c r="G5" s="182" t="s">
        <v>42</v>
      </c>
      <c r="H5" s="182"/>
      <c r="I5" s="182"/>
      <c r="J5" s="182"/>
      <c r="K5" s="182"/>
      <c r="L5" s="182"/>
      <c r="M5" s="182"/>
      <c r="N5" s="182"/>
      <c r="O5" s="183"/>
    </row>
    <row r="6" spans="2:23" ht="48" x14ac:dyDescent="0.25">
      <c r="B6" s="184" t="s">
        <v>29</v>
      </c>
      <c r="C6" s="185" t="s">
        <v>0</v>
      </c>
      <c r="D6" s="185" t="s">
        <v>13</v>
      </c>
      <c r="E6" s="185" t="s">
        <v>1</v>
      </c>
      <c r="F6" s="185" t="s">
        <v>34</v>
      </c>
      <c r="G6" s="185" t="s">
        <v>2</v>
      </c>
      <c r="H6" s="185" t="s">
        <v>3</v>
      </c>
      <c r="I6" s="185" t="s">
        <v>16</v>
      </c>
      <c r="J6" s="186" t="s">
        <v>14</v>
      </c>
      <c r="K6" s="185" t="s">
        <v>15</v>
      </c>
      <c r="L6" s="185" t="s">
        <v>4</v>
      </c>
      <c r="M6" s="187" t="s">
        <v>5</v>
      </c>
      <c r="N6" s="187" t="s">
        <v>6</v>
      </c>
      <c r="O6" s="188" t="s">
        <v>43</v>
      </c>
    </row>
    <row r="7" spans="2:23" x14ac:dyDescent="0.25">
      <c r="B7" s="189" t="str">
        <f>Demanda_Ponta!B7</f>
        <v>out</v>
      </c>
      <c r="C7" s="190">
        <f>Simul_F_Ponta!$B$13</f>
        <v>372</v>
      </c>
      <c r="D7" s="190">
        <f>C7*1.05</f>
        <v>390.6</v>
      </c>
      <c r="E7" s="6">
        <v>323.39999999999998</v>
      </c>
      <c r="F7" s="191">
        <f>IF(E7&gt;D7,C7,E7)</f>
        <v>323.39999999999998</v>
      </c>
      <c r="G7" s="7">
        <v>22.097429999999999</v>
      </c>
      <c r="H7" s="193">
        <f t="shared" ref="H7:H18" si="0">E7*G7</f>
        <v>7146.308861999999</v>
      </c>
      <c r="I7" s="191">
        <f t="shared" ref="I7:I18" si="1">IF(E7&gt;D7,E7-C7,0)</f>
        <v>0</v>
      </c>
      <c r="J7" s="192">
        <f>G7*3</f>
        <v>66.292289999999994</v>
      </c>
      <c r="K7" s="193">
        <f>I7*J7</f>
        <v>0</v>
      </c>
      <c r="L7" s="191">
        <f t="shared" ref="L7:L18" si="2">IF(E7&gt;C7,0,C7-E7)</f>
        <v>48.600000000000023</v>
      </c>
      <c r="M7" s="192">
        <f t="shared" ref="M7:M18" si="3">G7-(G7*18%)</f>
        <v>18.1198926</v>
      </c>
      <c r="N7" s="194">
        <f t="shared" ref="N7:N18" si="4">L7*M7</f>
        <v>880.62678036000045</v>
      </c>
      <c r="O7" s="195">
        <f t="shared" ref="O7:O18" si="5">H7+K7+N7</f>
        <v>8026.9356423599993</v>
      </c>
    </row>
    <row r="8" spans="2:23" x14ac:dyDescent="0.25">
      <c r="B8" s="189" t="str">
        <f>Demanda_Ponta!B8</f>
        <v>nov</v>
      </c>
      <c r="C8" s="190">
        <f>Simul_F_Ponta!$B$13</f>
        <v>372</v>
      </c>
      <c r="D8" s="190">
        <f t="shared" ref="D8:D18" si="6">C8*1.05</f>
        <v>390.6</v>
      </c>
      <c r="E8" s="6">
        <v>330.12</v>
      </c>
      <c r="F8" s="191">
        <f t="shared" ref="F8:F18" si="7">IF(E8&gt;D8,C8,E8)</f>
        <v>330.12</v>
      </c>
      <c r="G8" s="7">
        <v>22.090350000000001</v>
      </c>
      <c r="H8" s="193">
        <f t="shared" si="0"/>
        <v>7292.4663420000006</v>
      </c>
      <c r="I8" s="191">
        <f t="shared" si="1"/>
        <v>0</v>
      </c>
      <c r="J8" s="192">
        <f t="shared" ref="J8:J18" si="8">G8*3</f>
        <v>66.271050000000002</v>
      </c>
      <c r="K8" s="193">
        <f t="shared" ref="K8:K18" si="9">I8*J8</f>
        <v>0</v>
      </c>
      <c r="L8" s="191">
        <f t="shared" si="2"/>
        <v>41.879999999999995</v>
      </c>
      <c r="M8" s="192">
        <f t="shared" si="3"/>
        <v>18.114087000000001</v>
      </c>
      <c r="N8" s="194">
        <f t="shared" si="4"/>
        <v>758.61796356000002</v>
      </c>
      <c r="O8" s="195">
        <f t="shared" si="5"/>
        <v>8051.0843055600008</v>
      </c>
    </row>
    <row r="9" spans="2:23" x14ac:dyDescent="0.25">
      <c r="B9" s="189" t="str">
        <f>Demanda_Ponta!B9</f>
        <v>dez</v>
      </c>
      <c r="C9" s="190">
        <f>Simul_F_Ponta!$B$13</f>
        <v>372</v>
      </c>
      <c r="D9" s="190">
        <f t="shared" si="6"/>
        <v>390.6</v>
      </c>
      <c r="E9" s="6">
        <v>312.48</v>
      </c>
      <c r="F9" s="191">
        <f t="shared" si="7"/>
        <v>312.48</v>
      </c>
      <c r="G9" s="7">
        <v>22.07396</v>
      </c>
      <c r="H9" s="193">
        <f t="shared" si="0"/>
        <v>6897.6710208000004</v>
      </c>
      <c r="I9" s="191">
        <f t="shared" si="1"/>
        <v>0</v>
      </c>
      <c r="J9" s="192">
        <f t="shared" si="8"/>
        <v>66.221879999999999</v>
      </c>
      <c r="K9" s="193">
        <f t="shared" si="9"/>
        <v>0</v>
      </c>
      <c r="L9" s="191">
        <f t="shared" si="2"/>
        <v>59.519999999999982</v>
      </c>
      <c r="M9" s="192">
        <f t="shared" si="3"/>
        <v>18.100647200000001</v>
      </c>
      <c r="N9" s="194">
        <f t="shared" si="4"/>
        <v>1077.3505213439996</v>
      </c>
      <c r="O9" s="195">
        <f t="shared" si="5"/>
        <v>7975.0215421439998</v>
      </c>
    </row>
    <row r="10" spans="2:23" x14ac:dyDescent="0.25">
      <c r="B10" s="189" t="str">
        <f>Demanda_Ponta!B10</f>
        <v>jan</v>
      </c>
      <c r="C10" s="190">
        <f>Simul_F_Ponta!$B$13</f>
        <v>372</v>
      </c>
      <c r="D10" s="190">
        <f t="shared" si="6"/>
        <v>390.6</v>
      </c>
      <c r="E10" s="6">
        <v>355.32</v>
      </c>
      <c r="F10" s="191">
        <f t="shared" si="7"/>
        <v>355.32</v>
      </c>
      <c r="G10" s="7">
        <v>21.851150000000001</v>
      </c>
      <c r="H10" s="193">
        <f t="shared" si="0"/>
        <v>7764.1506179999997</v>
      </c>
      <c r="I10" s="191">
        <f t="shared" si="1"/>
        <v>0</v>
      </c>
      <c r="J10" s="192">
        <f t="shared" si="8"/>
        <v>65.553449999999998</v>
      </c>
      <c r="K10" s="193">
        <f t="shared" si="9"/>
        <v>0</v>
      </c>
      <c r="L10" s="191">
        <f t="shared" si="2"/>
        <v>16.680000000000007</v>
      </c>
      <c r="M10" s="192">
        <f t="shared" si="3"/>
        <v>17.917943000000001</v>
      </c>
      <c r="N10" s="194">
        <f t="shared" si="4"/>
        <v>298.87128924000012</v>
      </c>
      <c r="O10" s="195">
        <f t="shared" si="5"/>
        <v>8063.0219072399996</v>
      </c>
    </row>
    <row r="11" spans="2:23" x14ac:dyDescent="0.25">
      <c r="B11" s="189" t="str">
        <f>Demanda_Ponta!B11</f>
        <v>fev</v>
      </c>
      <c r="C11" s="190">
        <f>Simul_F_Ponta!$B$13</f>
        <v>372</v>
      </c>
      <c r="D11" s="190">
        <f t="shared" si="6"/>
        <v>390.6</v>
      </c>
      <c r="E11" s="6">
        <v>319.2</v>
      </c>
      <c r="F11" s="191">
        <f t="shared" si="7"/>
        <v>319.2</v>
      </c>
      <c r="G11" s="7">
        <v>22.120940000000001</v>
      </c>
      <c r="H11" s="193">
        <f t="shared" si="0"/>
        <v>7061.0040479999998</v>
      </c>
      <c r="I11" s="191">
        <f t="shared" si="1"/>
        <v>0</v>
      </c>
      <c r="J11" s="192">
        <f t="shared" si="8"/>
        <v>66.362819999999999</v>
      </c>
      <c r="K11" s="193">
        <f t="shared" si="9"/>
        <v>0</v>
      </c>
      <c r="L11" s="191">
        <f t="shared" si="2"/>
        <v>52.800000000000011</v>
      </c>
      <c r="M11" s="192">
        <f t="shared" si="3"/>
        <v>18.139170800000002</v>
      </c>
      <c r="N11" s="194">
        <f t="shared" si="4"/>
        <v>957.74821824000037</v>
      </c>
      <c r="O11" s="195">
        <f t="shared" si="5"/>
        <v>8018.7522662400006</v>
      </c>
    </row>
    <row r="12" spans="2:23" x14ac:dyDescent="0.25">
      <c r="B12" s="189" t="str">
        <f>Demanda_Ponta!B12</f>
        <v>mar</v>
      </c>
      <c r="C12" s="190">
        <f>Simul_F_Ponta!$B$13</f>
        <v>372</v>
      </c>
      <c r="D12" s="190">
        <f t="shared" si="6"/>
        <v>390.6</v>
      </c>
      <c r="E12" s="6">
        <v>335.16</v>
      </c>
      <c r="F12" s="191">
        <f t="shared" si="7"/>
        <v>335.16</v>
      </c>
      <c r="G12" s="7">
        <v>21.864889999999999</v>
      </c>
      <c r="H12" s="193">
        <f t="shared" si="0"/>
        <v>7328.2365324000002</v>
      </c>
      <c r="I12" s="191">
        <f t="shared" si="1"/>
        <v>0</v>
      </c>
      <c r="J12" s="192">
        <f t="shared" si="8"/>
        <v>65.594669999999994</v>
      </c>
      <c r="K12" s="193">
        <f t="shared" si="9"/>
        <v>0</v>
      </c>
      <c r="L12" s="191">
        <f t="shared" si="2"/>
        <v>36.839999999999975</v>
      </c>
      <c r="M12" s="192">
        <f t="shared" si="3"/>
        <v>17.929209799999999</v>
      </c>
      <c r="N12" s="194">
        <f t="shared" si="4"/>
        <v>660.51208903199949</v>
      </c>
      <c r="O12" s="195">
        <f t="shared" si="5"/>
        <v>7988.7486214319997</v>
      </c>
    </row>
    <row r="13" spans="2:23" x14ac:dyDescent="0.25">
      <c r="B13" s="189" t="str">
        <f>Demanda_Ponta!B13</f>
        <v>abr</v>
      </c>
      <c r="C13" s="190">
        <f>Simul_F_Ponta!$B$13</f>
        <v>372</v>
      </c>
      <c r="D13" s="190">
        <f t="shared" si="6"/>
        <v>390.6</v>
      </c>
      <c r="E13" s="6">
        <v>305.76</v>
      </c>
      <c r="F13" s="191">
        <f t="shared" si="7"/>
        <v>305.76</v>
      </c>
      <c r="G13" s="7">
        <v>21.846509999999999</v>
      </c>
      <c r="H13" s="193">
        <f t="shared" si="0"/>
        <v>6679.7888975999995</v>
      </c>
      <c r="I13" s="191">
        <f t="shared" si="1"/>
        <v>0</v>
      </c>
      <c r="J13" s="192">
        <f t="shared" si="8"/>
        <v>65.539529999999999</v>
      </c>
      <c r="K13" s="193">
        <f t="shared" si="9"/>
        <v>0</v>
      </c>
      <c r="L13" s="191">
        <f t="shared" si="2"/>
        <v>66.240000000000009</v>
      </c>
      <c r="M13" s="192">
        <f t="shared" si="3"/>
        <v>17.9141382</v>
      </c>
      <c r="N13" s="194">
        <f t="shared" si="4"/>
        <v>1186.6325143680001</v>
      </c>
      <c r="O13" s="195">
        <f t="shared" si="5"/>
        <v>7866.421411968</v>
      </c>
    </row>
    <row r="14" spans="2:23" x14ac:dyDescent="0.25">
      <c r="B14" s="189" t="str">
        <f>Demanda_Ponta!B14</f>
        <v>mai</v>
      </c>
      <c r="C14" s="190">
        <f>Simul_F_Ponta!$B$13</f>
        <v>372</v>
      </c>
      <c r="D14" s="190">
        <f t="shared" si="6"/>
        <v>390.6</v>
      </c>
      <c r="E14" s="6">
        <v>313.32</v>
      </c>
      <c r="F14" s="191">
        <f t="shared" si="7"/>
        <v>313.32</v>
      </c>
      <c r="G14" s="7">
        <v>22.177610000000001</v>
      </c>
      <c r="H14" s="193">
        <f t="shared" si="0"/>
        <v>6948.6887652000005</v>
      </c>
      <c r="I14" s="191">
        <f t="shared" si="1"/>
        <v>0</v>
      </c>
      <c r="J14" s="192">
        <f t="shared" si="8"/>
        <v>66.532830000000004</v>
      </c>
      <c r="K14" s="193">
        <f t="shared" si="9"/>
        <v>0</v>
      </c>
      <c r="L14" s="191">
        <f t="shared" si="2"/>
        <v>58.680000000000007</v>
      </c>
      <c r="M14" s="192">
        <f t="shared" si="3"/>
        <v>18.185640200000002</v>
      </c>
      <c r="N14" s="194">
        <f t="shared" si="4"/>
        <v>1067.1333669360001</v>
      </c>
      <c r="O14" s="195">
        <f t="shared" si="5"/>
        <v>8015.8221321360006</v>
      </c>
    </row>
    <row r="15" spans="2:23" x14ac:dyDescent="0.25">
      <c r="B15" s="189" t="str">
        <f>Demanda_Ponta!B15</f>
        <v>jun</v>
      </c>
      <c r="C15" s="190">
        <f>Simul_F_Ponta!$B$13</f>
        <v>372</v>
      </c>
      <c r="D15" s="190">
        <f t="shared" si="6"/>
        <v>390.6</v>
      </c>
      <c r="E15" s="6">
        <v>272.16000000000003</v>
      </c>
      <c r="F15" s="191">
        <f t="shared" si="7"/>
        <v>272.16000000000003</v>
      </c>
      <c r="G15" s="7">
        <v>21.727740000000001</v>
      </c>
      <c r="H15" s="193">
        <f t="shared" si="0"/>
        <v>5913.4217184000008</v>
      </c>
      <c r="I15" s="191">
        <f t="shared" si="1"/>
        <v>0</v>
      </c>
      <c r="J15" s="192">
        <f t="shared" si="8"/>
        <v>65.183220000000006</v>
      </c>
      <c r="K15" s="193">
        <f t="shared" si="9"/>
        <v>0</v>
      </c>
      <c r="L15" s="191">
        <f t="shared" si="2"/>
        <v>99.839999999999975</v>
      </c>
      <c r="M15" s="192">
        <f t="shared" si="3"/>
        <v>17.816746800000001</v>
      </c>
      <c r="N15" s="194">
        <f t="shared" si="4"/>
        <v>1778.8240005119997</v>
      </c>
      <c r="O15" s="195">
        <f t="shared" si="5"/>
        <v>7692.2457189120005</v>
      </c>
    </row>
    <row r="16" spans="2:23" x14ac:dyDescent="0.25">
      <c r="B16" s="189" t="str">
        <f>Demanda_Ponta!B16</f>
        <v>jul</v>
      </c>
      <c r="C16" s="190">
        <f>Simul_F_Ponta!$B$13</f>
        <v>372</v>
      </c>
      <c r="D16" s="190">
        <f t="shared" si="6"/>
        <v>390.6</v>
      </c>
      <c r="E16" s="6">
        <v>274.68</v>
      </c>
      <c r="F16" s="191">
        <f t="shared" si="7"/>
        <v>274.68</v>
      </c>
      <c r="G16" s="7">
        <v>24.231359999999999</v>
      </c>
      <c r="H16" s="193">
        <f t="shared" si="0"/>
        <v>6655.8699648000002</v>
      </c>
      <c r="I16" s="191">
        <f t="shared" si="1"/>
        <v>0</v>
      </c>
      <c r="J16" s="192">
        <f t="shared" si="8"/>
        <v>72.69408</v>
      </c>
      <c r="K16" s="193">
        <f t="shared" si="9"/>
        <v>0</v>
      </c>
      <c r="L16" s="191">
        <f t="shared" si="2"/>
        <v>97.32</v>
      </c>
      <c r="M16" s="192">
        <f t="shared" si="3"/>
        <v>19.869715199999998</v>
      </c>
      <c r="N16" s="194">
        <f t="shared" si="4"/>
        <v>1933.7206832639997</v>
      </c>
      <c r="O16" s="195">
        <f t="shared" si="5"/>
        <v>8589.5906480640006</v>
      </c>
    </row>
    <row r="17" spans="2:17" x14ac:dyDescent="0.25">
      <c r="B17" s="189" t="str">
        <f>Demanda_Ponta!B17</f>
        <v>ago</v>
      </c>
      <c r="C17" s="190">
        <f>Simul_F_Ponta!$B$13</f>
        <v>372</v>
      </c>
      <c r="D17" s="190">
        <f t="shared" si="6"/>
        <v>390.6</v>
      </c>
      <c r="E17" s="6">
        <v>304.08</v>
      </c>
      <c r="F17" s="191">
        <f t="shared" si="7"/>
        <v>304.08</v>
      </c>
      <c r="G17" s="7">
        <v>12.265890000000001</v>
      </c>
      <c r="H17" s="193">
        <f t="shared" si="0"/>
        <v>3729.8118312000001</v>
      </c>
      <c r="I17" s="191">
        <f t="shared" si="1"/>
        <v>0</v>
      </c>
      <c r="J17" s="192">
        <f t="shared" si="8"/>
        <v>36.797670000000004</v>
      </c>
      <c r="K17" s="193">
        <f t="shared" si="9"/>
        <v>0</v>
      </c>
      <c r="L17" s="191">
        <f t="shared" si="2"/>
        <v>67.920000000000016</v>
      </c>
      <c r="M17" s="192">
        <f t="shared" si="3"/>
        <v>10.0580298</v>
      </c>
      <c r="N17" s="194">
        <f t="shared" si="4"/>
        <v>683.14138401600019</v>
      </c>
      <c r="O17" s="195">
        <f t="shared" si="5"/>
        <v>4412.953215216</v>
      </c>
    </row>
    <row r="18" spans="2:17" x14ac:dyDescent="0.25">
      <c r="B18" s="189" t="str">
        <f>Demanda_Ponta!B18</f>
        <v>set</v>
      </c>
      <c r="C18" s="190">
        <f>Simul_F_Ponta!$B$13</f>
        <v>372</v>
      </c>
      <c r="D18" s="196">
        <f t="shared" si="6"/>
        <v>390.6</v>
      </c>
      <c r="E18" s="8">
        <v>306.60000000000002</v>
      </c>
      <c r="F18" s="197">
        <f t="shared" si="7"/>
        <v>306.60000000000002</v>
      </c>
      <c r="G18" s="9">
        <v>12.287929999999999</v>
      </c>
      <c r="H18" s="199">
        <f t="shared" si="0"/>
        <v>3767.4793380000001</v>
      </c>
      <c r="I18" s="197">
        <f t="shared" si="1"/>
        <v>0</v>
      </c>
      <c r="J18" s="192">
        <f t="shared" si="8"/>
        <v>36.863789999999995</v>
      </c>
      <c r="K18" s="199">
        <f t="shared" si="9"/>
        <v>0</v>
      </c>
      <c r="L18" s="197">
        <f t="shared" si="2"/>
        <v>65.399999999999977</v>
      </c>
      <c r="M18" s="198">
        <f t="shared" si="3"/>
        <v>10.076102599999999</v>
      </c>
      <c r="N18" s="194">
        <f t="shared" si="4"/>
        <v>658.97711003999973</v>
      </c>
      <c r="O18" s="195">
        <f t="shared" si="5"/>
        <v>4426.4564480399995</v>
      </c>
    </row>
    <row r="19" spans="2:17" ht="24" customHeight="1" x14ac:dyDescent="0.25">
      <c r="B19" s="200"/>
      <c r="C19" s="201"/>
      <c r="D19" s="201"/>
      <c r="E19" s="201"/>
      <c r="F19" s="201"/>
      <c r="G19" s="201"/>
      <c r="H19" s="202"/>
      <c r="I19" s="201"/>
      <c r="J19" s="201"/>
      <c r="K19" s="202"/>
      <c r="L19" s="201"/>
      <c r="M19" s="203"/>
      <c r="N19" s="204" t="s">
        <v>30</v>
      </c>
      <c r="O19" s="205">
        <f>SUM(O7:O18)</f>
        <v>89127.053859312</v>
      </c>
    </row>
    <row r="20" spans="2:17" ht="5.25" customHeight="1" x14ac:dyDescent="0.25">
      <c r="B20" s="178"/>
      <c r="O20" s="180"/>
    </row>
    <row r="21" spans="2:17" ht="23.25" x14ac:dyDescent="0.25">
      <c r="B21" s="206"/>
      <c r="C21" s="207"/>
      <c r="D21" s="207"/>
      <c r="E21" s="207"/>
      <c r="F21" s="207" t="s">
        <v>41</v>
      </c>
      <c r="G21" s="207"/>
      <c r="H21" s="207"/>
      <c r="I21" s="207"/>
      <c r="J21" s="207"/>
      <c r="K21" s="207"/>
      <c r="L21" s="207"/>
      <c r="M21" s="207"/>
      <c r="N21" s="207"/>
      <c r="O21" s="208"/>
    </row>
    <row r="22" spans="2:17" ht="48" x14ac:dyDescent="0.25">
      <c r="B22" s="184" t="s">
        <v>29</v>
      </c>
      <c r="C22" s="185" t="s">
        <v>0</v>
      </c>
      <c r="D22" s="185" t="s">
        <v>13</v>
      </c>
      <c r="E22" s="185" t="s">
        <v>1</v>
      </c>
      <c r="F22" s="185" t="s">
        <v>34</v>
      </c>
      <c r="G22" s="185" t="s">
        <v>2</v>
      </c>
      <c r="H22" s="185" t="s">
        <v>3</v>
      </c>
      <c r="I22" s="185" t="s">
        <v>16</v>
      </c>
      <c r="J22" s="185" t="s">
        <v>14</v>
      </c>
      <c r="K22" s="185" t="s">
        <v>15</v>
      </c>
      <c r="L22" s="185" t="s">
        <v>4</v>
      </c>
      <c r="M22" s="187" t="s">
        <v>5</v>
      </c>
      <c r="N22" s="187" t="s">
        <v>6</v>
      </c>
      <c r="O22" s="188" t="s">
        <v>43</v>
      </c>
    </row>
    <row r="23" spans="2:17" x14ac:dyDescent="0.25">
      <c r="B23" s="189" t="str">
        <f>B7</f>
        <v>out</v>
      </c>
      <c r="C23" s="190">
        <f>Simul_F_Ponta!$B$28</f>
        <v>345</v>
      </c>
      <c r="D23" s="190">
        <f>C23*1.05</f>
        <v>362.25</v>
      </c>
      <c r="E23" s="191">
        <f>E7</f>
        <v>323.39999999999998</v>
      </c>
      <c r="F23" s="191">
        <f>IF(E23&gt;D23,C23,E23)</f>
        <v>323.39999999999998</v>
      </c>
      <c r="G23" s="192">
        <f>G7</f>
        <v>22.097429999999999</v>
      </c>
      <c r="H23" s="193">
        <f t="shared" ref="H23:H34" si="10">E23*G23</f>
        <v>7146.308861999999</v>
      </c>
      <c r="I23" s="191">
        <f t="shared" ref="I23:I34" si="11">IF(E23&gt;D23,E23-C23,0)</f>
        <v>0</v>
      </c>
      <c r="J23" s="192">
        <f>G23*2</f>
        <v>44.194859999999998</v>
      </c>
      <c r="K23" s="193">
        <f>I23*J23</f>
        <v>0</v>
      </c>
      <c r="L23" s="191">
        <f t="shared" ref="L23:L34" si="12">IF(E23&gt;C23,0,C23-E23)</f>
        <v>21.600000000000023</v>
      </c>
      <c r="M23" s="192">
        <f t="shared" ref="M23:M34" si="13">G23-(G23*18%)</f>
        <v>18.1198926</v>
      </c>
      <c r="N23" s="194">
        <f t="shared" ref="N23:N34" si="14">L23*M23</f>
        <v>391.38968016000041</v>
      </c>
      <c r="O23" s="195">
        <f t="shared" ref="O23:O34" si="15">H23+K23+N23</f>
        <v>7537.6985421599993</v>
      </c>
      <c r="Q23" s="209"/>
    </row>
    <row r="24" spans="2:17" x14ac:dyDescent="0.25">
      <c r="B24" s="189" t="str">
        <f t="shared" ref="B24:B34" si="16">B8</f>
        <v>nov</v>
      </c>
      <c r="C24" s="190">
        <f>Simul_F_Ponta!$B$28</f>
        <v>345</v>
      </c>
      <c r="D24" s="190">
        <f t="shared" ref="D24:D34" si="17">C24*1.05</f>
        <v>362.25</v>
      </c>
      <c r="E24" s="191">
        <f t="shared" ref="E24:E34" si="18">E8</f>
        <v>330.12</v>
      </c>
      <c r="F24" s="191">
        <f t="shared" ref="F24:F34" si="19">IF(E24&gt;D24,C24,E24)</f>
        <v>330.12</v>
      </c>
      <c r="G24" s="192">
        <f t="shared" ref="G24:G34" si="20">G8</f>
        <v>22.090350000000001</v>
      </c>
      <c r="H24" s="193">
        <f t="shared" si="10"/>
        <v>7292.4663420000006</v>
      </c>
      <c r="I24" s="191">
        <f t="shared" si="11"/>
        <v>0</v>
      </c>
      <c r="J24" s="192">
        <f t="shared" ref="J24:J34" si="21">G24*2</f>
        <v>44.180700000000002</v>
      </c>
      <c r="K24" s="193">
        <f t="shared" ref="K24:K34" si="22">I24*J24</f>
        <v>0</v>
      </c>
      <c r="L24" s="191">
        <f t="shared" si="12"/>
        <v>14.879999999999995</v>
      </c>
      <c r="M24" s="192">
        <f t="shared" si="13"/>
        <v>18.114087000000001</v>
      </c>
      <c r="N24" s="194">
        <f t="shared" si="14"/>
        <v>269.53761455999995</v>
      </c>
      <c r="O24" s="195">
        <f t="shared" si="15"/>
        <v>7562.0039565600009</v>
      </c>
    </row>
    <row r="25" spans="2:17" x14ac:dyDescent="0.25">
      <c r="B25" s="189" t="str">
        <f t="shared" si="16"/>
        <v>dez</v>
      </c>
      <c r="C25" s="190">
        <f>Simul_F_Ponta!$B$28</f>
        <v>345</v>
      </c>
      <c r="D25" s="190">
        <f t="shared" si="17"/>
        <v>362.25</v>
      </c>
      <c r="E25" s="191">
        <f>E9</f>
        <v>312.48</v>
      </c>
      <c r="F25" s="191">
        <f t="shared" si="19"/>
        <v>312.48</v>
      </c>
      <c r="G25" s="192">
        <f t="shared" si="20"/>
        <v>22.07396</v>
      </c>
      <c r="H25" s="193">
        <f t="shared" si="10"/>
        <v>6897.6710208000004</v>
      </c>
      <c r="I25" s="191">
        <f t="shared" si="11"/>
        <v>0</v>
      </c>
      <c r="J25" s="192">
        <f t="shared" si="21"/>
        <v>44.147919999999999</v>
      </c>
      <c r="K25" s="193">
        <f t="shared" si="22"/>
        <v>0</v>
      </c>
      <c r="L25" s="191">
        <f t="shared" si="12"/>
        <v>32.519999999999982</v>
      </c>
      <c r="M25" s="192">
        <f t="shared" si="13"/>
        <v>18.100647200000001</v>
      </c>
      <c r="N25" s="194">
        <f t="shared" si="14"/>
        <v>588.63304694399972</v>
      </c>
      <c r="O25" s="195">
        <f t="shared" si="15"/>
        <v>7486.3040677440003</v>
      </c>
    </row>
    <row r="26" spans="2:17" x14ac:dyDescent="0.25">
      <c r="B26" s="189" t="str">
        <f t="shared" si="16"/>
        <v>jan</v>
      </c>
      <c r="C26" s="190">
        <f>Simul_F_Ponta!$B$28</f>
        <v>345</v>
      </c>
      <c r="D26" s="190">
        <f t="shared" si="17"/>
        <v>362.25</v>
      </c>
      <c r="E26" s="191">
        <f t="shared" si="18"/>
        <v>355.32</v>
      </c>
      <c r="F26" s="191">
        <f t="shared" si="19"/>
        <v>355.32</v>
      </c>
      <c r="G26" s="192">
        <f t="shared" si="20"/>
        <v>21.851150000000001</v>
      </c>
      <c r="H26" s="193">
        <f t="shared" si="10"/>
        <v>7764.1506179999997</v>
      </c>
      <c r="I26" s="191">
        <f t="shared" si="11"/>
        <v>0</v>
      </c>
      <c r="J26" s="192">
        <f t="shared" si="21"/>
        <v>43.702300000000001</v>
      </c>
      <c r="K26" s="193">
        <f t="shared" si="22"/>
        <v>0</v>
      </c>
      <c r="L26" s="191">
        <f t="shared" si="12"/>
        <v>0</v>
      </c>
      <c r="M26" s="192">
        <f t="shared" si="13"/>
        <v>17.917943000000001</v>
      </c>
      <c r="N26" s="194">
        <f t="shared" si="14"/>
        <v>0</v>
      </c>
      <c r="O26" s="195">
        <f t="shared" si="15"/>
        <v>7764.1506179999997</v>
      </c>
    </row>
    <row r="27" spans="2:17" x14ac:dyDescent="0.25">
      <c r="B27" s="189" t="str">
        <f t="shared" si="16"/>
        <v>fev</v>
      </c>
      <c r="C27" s="190">
        <f>Simul_F_Ponta!$B$28</f>
        <v>345</v>
      </c>
      <c r="D27" s="190">
        <f t="shared" si="17"/>
        <v>362.25</v>
      </c>
      <c r="E27" s="191">
        <f t="shared" si="18"/>
        <v>319.2</v>
      </c>
      <c r="F27" s="191">
        <f t="shared" si="19"/>
        <v>319.2</v>
      </c>
      <c r="G27" s="192">
        <f t="shared" si="20"/>
        <v>22.120940000000001</v>
      </c>
      <c r="H27" s="193">
        <f t="shared" si="10"/>
        <v>7061.0040479999998</v>
      </c>
      <c r="I27" s="191">
        <f t="shared" si="11"/>
        <v>0</v>
      </c>
      <c r="J27" s="192">
        <f t="shared" si="21"/>
        <v>44.241880000000002</v>
      </c>
      <c r="K27" s="193">
        <f t="shared" si="22"/>
        <v>0</v>
      </c>
      <c r="L27" s="191">
        <f t="shared" si="12"/>
        <v>25.800000000000011</v>
      </c>
      <c r="M27" s="192">
        <f t="shared" si="13"/>
        <v>18.139170800000002</v>
      </c>
      <c r="N27" s="194">
        <f t="shared" si="14"/>
        <v>467.99060664000024</v>
      </c>
      <c r="O27" s="195">
        <f t="shared" si="15"/>
        <v>7528.9946546399997</v>
      </c>
    </row>
    <row r="28" spans="2:17" x14ac:dyDescent="0.25">
      <c r="B28" s="189" t="str">
        <f t="shared" si="16"/>
        <v>mar</v>
      </c>
      <c r="C28" s="190">
        <f>Simul_F_Ponta!$B$28</f>
        <v>345</v>
      </c>
      <c r="D28" s="190">
        <f t="shared" si="17"/>
        <v>362.25</v>
      </c>
      <c r="E28" s="191">
        <f t="shared" si="18"/>
        <v>335.16</v>
      </c>
      <c r="F28" s="191">
        <f t="shared" si="19"/>
        <v>335.16</v>
      </c>
      <c r="G28" s="192">
        <f t="shared" si="20"/>
        <v>21.864889999999999</v>
      </c>
      <c r="H28" s="193">
        <f t="shared" si="10"/>
        <v>7328.2365324000002</v>
      </c>
      <c r="I28" s="191">
        <f t="shared" si="11"/>
        <v>0</v>
      </c>
      <c r="J28" s="192">
        <f t="shared" si="21"/>
        <v>43.729779999999998</v>
      </c>
      <c r="K28" s="193">
        <f t="shared" si="22"/>
        <v>0</v>
      </c>
      <c r="L28" s="191">
        <f t="shared" si="12"/>
        <v>9.839999999999975</v>
      </c>
      <c r="M28" s="192">
        <f t="shared" si="13"/>
        <v>17.929209799999999</v>
      </c>
      <c r="N28" s="194">
        <f t="shared" si="14"/>
        <v>176.42342443199954</v>
      </c>
      <c r="O28" s="195">
        <f t="shared" si="15"/>
        <v>7504.6599568319998</v>
      </c>
    </row>
    <row r="29" spans="2:17" x14ac:dyDescent="0.25">
      <c r="B29" s="189" t="str">
        <f t="shared" si="16"/>
        <v>abr</v>
      </c>
      <c r="C29" s="190">
        <f>Simul_F_Ponta!$B$28</f>
        <v>345</v>
      </c>
      <c r="D29" s="190">
        <f t="shared" si="17"/>
        <v>362.25</v>
      </c>
      <c r="E29" s="191">
        <f t="shared" si="18"/>
        <v>305.76</v>
      </c>
      <c r="F29" s="191">
        <f t="shared" si="19"/>
        <v>305.76</v>
      </c>
      <c r="G29" s="192">
        <f t="shared" si="20"/>
        <v>21.846509999999999</v>
      </c>
      <c r="H29" s="193">
        <f t="shared" si="10"/>
        <v>6679.7888975999995</v>
      </c>
      <c r="I29" s="191">
        <f t="shared" si="11"/>
        <v>0</v>
      </c>
      <c r="J29" s="192">
        <f t="shared" si="21"/>
        <v>43.693019999999997</v>
      </c>
      <c r="K29" s="193">
        <f t="shared" si="22"/>
        <v>0</v>
      </c>
      <c r="L29" s="191">
        <f t="shared" si="12"/>
        <v>39.240000000000009</v>
      </c>
      <c r="M29" s="192">
        <f t="shared" si="13"/>
        <v>17.9141382</v>
      </c>
      <c r="N29" s="194">
        <f t="shared" si="14"/>
        <v>702.95078296800011</v>
      </c>
      <c r="O29" s="195">
        <f t="shared" si="15"/>
        <v>7382.739680568</v>
      </c>
    </row>
    <row r="30" spans="2:17" x14ac:dyDescent="0.25">
      <c r="B30" s="189" t="str">
        <f t="shared" si="16"/>
        <v>mai</v>
      </c>
      <c r="C30" s="190">
        <f>Simul_F_Ponta!$B$28</f>
        <v>345</v>
      </c>
      <c r="D30" s="190">
        <f t="shared" si="17"/>
        <v>362.25</v>
      </c>
      <c r="E30" s="191">
        <f t="shared" si="18"/>
        <v>313.32</v>
      </c>
      <c r="F30" s="191">
        <f t="shared" si="19"/>
        <v>313.32</v>
      </c>
      <c r="G30" s="192">
        <f t="shared" si="20"/>
        <v>22.177610000000001</v>
      </c>
      <c r="H30" s="193">
        <f t="shared" si="10"/>
        <v>6948.6887652000005</v>
      </c>
      <c r="I30" s="191">
        <f t="shared" si="11"/>
        <v>0</v>
      </c>
      <c r="J30" s="192">
        <f t="shared" si="21"/>
        <v>44.355220000000003</v>
      </c>
      <c r="K30" s="193">
        <f t="shared" si="22"/>
        <v>0</v>
      </c>
      <c r="L30" s="191">
        <f t="shared" si="12"/>
        <v>31.680000000000007</v>
      </c>
      <c r="M30" s="192">
        <f t="shared" si="13"/>
        <v>18.185640200000002</v>
      </c>
      <c r="N30" s="194">
        <f t="shared" si="14"/>
        <v>576.12108153600013</v>
      </c>
      <c r="O30" s="195">
        <f t="shared" si="15"/>
        <v>7524.8098467360005</v>
      </c>
    </row>
    <row r="31" spans="2:17" x14ac:dyDescent="0.25">
      <c r="B31" s="189" t="str">
        <f t="shared" si="16"/>
        <v>jun</v>
      </c>
      <c r="C31" s="190">
        <f>Simul_F_Ponta!$B$28</f>
        <v>345</v>
      </c>
      <c r="D31" s="190">
        <f t="shared" si="17"/>
        <v>362.25</v>
      </c>
      <c r="E31" s="191">
        <f t="shared" si="18"/>
        <v>272.16000000000003</v>
      </c>
      <c r="F31" s="191">
        <f t="shared" si="19"/>
        <v>272.16000000000003</v>
      </c>
      <c r="G31" s="192">
        <f t="shared" si="20"/>
        <v>21.727740000000001</v>
      </c>
      <c r="H31" s="193">
        <f t="shared" si="10"/>
        <v>5913.4217184000008</v>
      </c>
      <c r="I31" s="191">
        <f t="shared" si="11"/>
        <v>0</v>
      </c>
      <c r="J31" s="192">
        <f t="shared" si="21"/>
        <v>43.455480000000001</v>
      </c>
      <c r="K31" s="193">
        <f t="shared" si="22"/>
        <v>0</v>
      </c>
      <c r="L31" s="191">
        <f t="shared" si="12"/>
        <v>72.839999999999975</v>
      </c>
      <c r="M31" s="192">
        <f t="shared" si="13"/>
        <v>17.816746800000001</v>
      </c>
      <c r="N31" s="194">
        <f t="shared" si="14"/>
        <v>1297.7718369119996</v>
      </c>
      <c r="O31" s="195">
        <f t="shared" si="15"/>
        <v>7211.1935553120002</v>
      </c>
    </row>
    <row r="32" spans="2:17" x14ac:dyDescent="0.25">
      <c r="B32" s="189" t="str">
        <f t="shared" si="16"/>
        <v>jul</v>
      </c>
      <c r="C32" s="190">
        <f>Simul_F_Ponta!$B$28</f>
        <v>345</v>
      </c>
      <c r="D32" s="190">
        <f t="shared" si="17"/>
        <v>362.25</v>
      </c>
      <c r="E32" s="191">
        <f t="shared" si="18"/>
        <v>274.68</v>
      </c>
      <c r="F32" s="191">
        <f t="shared" si="19"/>
        <v>274.68</v>
      </c>
      <c r="G32" s="192">
        <f t="shared" si="20"/>
        <v>24.231359999999999</v>
      </c>
      <c r="H32" s="193">
        <f t="shared" si="10"/>
        <v>6655.8699648000002</v>
      </c>
      <c r="I32" s="191">
        <f t="shared" si="11"/>
        <v>0</v>
      </c>
      <c r="J32" s="192">
        <f t="shared" si="21"/>
        <v>48.462719999999997</v>
      </c>
      <c r="K32" s="193">
        <f t="shared" si="22"/>
        <v>0</v>
      </c>
      <c r="L32" s="191">
        <f t="shared" si="12"/>
        <v>70.319999999999993</v>
      </c>
      <c r="M32" s="192">
        <f t="shared" si="13"/>
        <v>19.869715199999998</v>
      </c>
      <c r="N32" s="194">
        <f t="shared" si="14"/>
        <v>1397.2383728639998</v>
      </c>
      <c r="O32" s="195">
        <f t="shared" si="15"/>
        <v>8053.1083376639999</v>
      </c>
    </row>
    <row r="33" spans="2:15" x14ac:dyDescent="0.25">
      <c r="B33" s="189" t="str">
        <f t="shared" si="16"/>
        <v>ago</v>
      </c>
      <c r="C33" s="190">
        <f>Simul_F_Ponta!$B$28</f>
        <v>345</v>
      </c>
      <c r="D33" s="190">
        <f t="shared" si="17"/>
        <v>362.25</v>
      </c>
      <c r="E33" s="191">
        <f t="shared" si="18"/>
        <v>304.08</v>
      </c>
      <c r="F33" s="191">
        <f t="shared" si="19"/>
        <v>304.08</v>
      </c>
      <c r="G33" s="192">
        <f t="shared" si="20"/>
        <v>12.265890000000001</v>
      </c>
      <c r="H33" s="193">
        <f t="shared" si="10"/>
        <v>3729.8118312000001</v>
      </c>
      <c r="I33" s="191">
        <f t="shared" si="11"/>
        <v>0</v>
      </c>
      <c r="J33" s="192">
        <f t="shared" si="21"/>
        <v>24.531780000000001</v>
      </c>
      <c r="K33" s="193">
        <f t="shared" si="22"/>
        <v>0</v>
      </c>
      <c r="L33" s="191">
        <f t="shared" si="12"/>
        <v>40.920000000000016</v>
      </c>
      <c r="M33" s="192">
        <f t="shared" si="13"/>
        <v>10.0580298</v>
      </c>
      <c r="N33" s="194">
        <f t="shared" si="14"/>
        <v>411.57457941600018</v>
      </c>
      <c r="O33" s="195">
        <f t="shared" si="15"/>
        <v>4141.3864106159999</v>
      </c>
    </row>
    <row r="34" spans="2:15" x14ac:dyDescent="0.25">
      <c r="B34" s="189" t="str">
        <f t="shared" si="16"/>
        <v>set</v>
      </c>
      <c r="C34" s="190">
        <f>Simul_F_Ponta!$B$28</f>
        <v>345</v>
      </c>
      <c r="D34" s="196">
        <f t="shared" si="17"/>
        <v>362.25</v>
      </c>
      <c r="E34" s="191">
        <f t="shared" si="18"/>
        <v>306.60000000000002</v>
      </c>
      <c r="F34" s="197">
        <f t="shared" si="19"/>
        <v>306.60000000000002</v>
      </c>
      <c r="G34" s="192">
        <f t="shared" si="20"/>
        <v>12.287929999999999</v>
      </c>
      <c r="H34" s="199">
        <f t="shared" si="10"/>
        <v>3767.4793380000001</v>
      </c>
      <c r="I34" s="197">
        <f t="shared" si="11"/>
        <v>0</v>
      </c>
      <c r="J34" s="192">
        <f t="shared" si="21"/>
        <v>24.575859999999999</v>
      </c>
      <c r="K34" s="199">
        <f t="shared" si="22"/>
        <v>0</v>
      </c>
      <c r="L34" s="197">
        <f t="shared" si="12"/>
        <v>38.399999999999977</v>
      </c>
      <c r="M34" s="198">
        <f t="shared" si="13"/>
        <v>10.076102599999999</v>
      </c>
      <c r="N34" s="194">
        <f t="shared" si="14"/>
        <v>386.92233983999972</v>
      </c>
      <c r="O34" s="195">
        <f t="shared" si="15"/>
        <v>4154.40167784</v>
      </c>
    </row>
    <row r="35" spans="2:15" ht="24" customHeight="1" x14ac:dyDescent="0.25">
      <c r="B35" s="210"/>
      <c r="C35" s="211"/>
      <c r="D35" s="211"/>
      <c r="E35" s="211"/>
      <c r="F35" s="211"/>
      <c r="G35" s="211"/>
      <c r="H35" s="212"/>
      <c r="I35" s="211"/>
      <c r="J35" s="211"/>
      <c r="K35" s="212"/>
      <c r="L35" s="211"/>
      <c r="M35" s="213"/>
      <c r="N35" s="214" t="s">
        <v>30</v>
      </c>
      <c r="O35" s="215">
        <f>SUM(O23:O34)</f>
        <v>83851.451304672009</v>
      </c>
    </row>
  </sheetData>
  <sheetProtection sheet="1" objects="1" scenarios="1"/>
  <mergeCells count="2">
    <mergeCell ref="B2:O2"/>
    <mergeCell ref="B3:F3"/>
  </mergeCells>
  <pageMargins left="0.75" right="0.75" top="1" bottom="1" header="0.511811023622047" footer="0.511811023622047"/>
  <pageSetup paperSize="9" orientation="portrait" horizontalDpi="300" verticalDpi="300"/>
  <ignoredErrors>
    <ignoredError sqref="F7:F18 I8:I18 I24:I34 E23:E24 G23:G34 I7 E25:E34 I23 B7:B18" unlockedFormula="1"/>
    <ignoredError sqref="F23:F34" formula="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6899-7DBC-4552-B91A-159733D331A7}">
  <sheetPr>
    <tabColor theme="4" tint="0.79998168889431442"/>
  </sheetPr>
  <dimension ref="B1:Q46"/>
  <sheetViews>
    <sheetView topLeftCell="A3" zoomScale="85" zoomScaleNormal="85" workbookViewId="0">
      <selection activeCell="B35" sqref="B35:F37"/>
    </sheetView>
  </sheetViews>
  <sheetFormatPr defaultRowHeight="15" x14ac:dyDescent="0.25"/>
  <cols>
    <col min="1" max="1" width="4" customWidth="1"/>
    <col min="2" max="6" width="9.7109375" customWidth="1"/>
    <col min="7" max="7" width="2.85546875" style="1" customWidth="1"/>
    <col min="8" max="8" width="9.140625" style="1"/>
    <col min="9" max="9" width="8.7109375" style="1" customWidth="1"/>
    <col min="10" max="10" width="9.140625" style="1"/>
    <col min="11" max="15" width="8.7109375" style="1" customWidth="1"/>
    <col min="17" max="17" width="10.140625" bestFit="1" customWidth="1"/>
  </cols>
  <sheetData>
    <row r="1" spans="2:17" ht="28.5" x14ac:dyDescent="0.25">
      <c r="B1" s="139" t="s">
        <v>40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1"/>
    </row>
    <row r="2" spans="2:17" ht="8.25" customHeight="1" x14ac:dyDescent="0.25"/>
    <row r="3" spans="2:17" s="2" customFormat="1" ht="15.75" customHeight="1" x14ac:dyDescent="0.25">
      <c r="B3" s="99" t="s">
        <v>45</v>
      </c>
      <c r="C3" s="100"/>
      <c r="D3" s="100"/>
      <c r="E3" s="100"/>
      <c r="F3" s="101"/>
    </row>
    <row r="4" spans="2:17" ht="15" customHeight="1" x14ac:dyDescent="0.25">
      <c r="B4" s="102"/>
      <c r="C4" s="103"/>
      <c r="D4" s="103"/>
      <c r="E4" s="103"/>
      <c r="F4" s="104"/>
      <c r="G4"/>
      <c r="H4"/>
      <c r="I4"/>
      <c r="J4"/>
      <c r="K4"/>
      <c r="L4"/>
      <c r="M4"/>
      <c r="N4"/>
      <c r="O4"/>
    </row>
    <row r="5" spans="2:17" ht="15" customHeight="1" x14ac:dyDescent="0.25">
      <c r="B5" s="105"/>
      <c r="C5" s="106"/>
      <c r="D5" s="106"/>
      <c r="E5" s="106"/>
      <c r="F5" s="107"/>
      <c r="G5"/>
      <c r="H5"/>
      <c r="I5"/>
      <c r="J5"/>
      <c r="K5"/>
      <c r="L5"/>
      <c r="M5"/>
      <c r="N5"/>
      <c r="O5"/>
    </row>
    <row r="6" spans="2:17" ht="15" customHeight="1" x14ac:dyDescent="0.25">
      <c r="B6" s="153" t="str">
        <f>Demanda_F_Ponta!H3</f>
        <v>out</v>
      </c>
      <c r="C6" s="156">
        <f>Demanda_F_Ponta!I3</f>
        <v>2025</v>
      </c>
      <c r="D6" s="159" t="s">
        <v>47</v>
      </c>
      <c r="E6" s="162" t="str">
        <f>Demanda_F_Ponta!K3</f>
        <v>set</v>
      </c>
      <c r="F6" s="165">
        <f>Demanda_F_Ponta!L3</f>
        <v>2026</v>
      </c>
      <c r="G6"/>
      <c r="H6"/>
      <c r="I6"/>
      <c r="J6"/>
      <c r="K6"/>
      <c r="L6"/>
      <c r="M6"/>
      <c r="N6"/>
      <c r="O6"/>
    </row>
    <row r="7" spans="2:17" ht="15" customHeight="1" x14ac:dyDescent="0.25">
      <c r="B7" s="154"/>
      <c r="C7" s="157"/>
      <c r="D7" s="160"/>
      <c r="E7" s="163"/>
      <c r="F7" s="166"/>
      <c r="G7"/>
      <c r="H7"/>
      <c r="I7"/>
      <c r="J7"/>
      <c r="K7"/>
      <c r="L7"/>
      <c r="M7"/>
      <c r="N7"/>
      <c r="O7"/>
    </row>
    <row r="8" spans="2:17" ht="15" customHeight="1" x14ac:dyDescent="0.25">
      <c r="B8" s="155"/>
      <c r="C8" s="158"/>
      <c r="D8" s="161"/>
      <c r="E8" s="164"/>
      <c r="F8" s="167"/>
      <c r="G8"/>
      <c r="H8"/>
      <c r="I8"/>
      <c r="J8"/>
      <c r="K8"/>
      <c r="L8"/>
      <c r="M8"/>
      <c r="N8"/>
      <c r="O8"/>
    </row>
    <row r="9" spans="2:17" ht="8.25" customHeight="1" x14ac:dyDescent="0.25"/>
    <row r="10" spans="2:17" ht="15" customHeight="1" x14ac:dyDescent="0.25">
      <c r="B10" s="142" t="s">
        <v>37</v>
      </c>
      <c r="C10" s="142"/>
      <c r="D10" s="142"/>
      <c r="E10" s="142"/>
      <c r="F10" s="142"/>
      <c r="G10"/>
      <c r="H10"/>
      <c r="I10"/>
      <c r="J10"/>
      <c r="K10"/>
      <c r="L10"/>
      <c r="M10"/>
      <c r="N10"/>
      <c r="O10"/>
    </row>
    <row r="11" spans="2:17" ht="15" customHeight="1" x14ac:dyDescent="0.25">
      <c r="B11" s="142"/>
      <c r="C11" s="142"/>
      <c r="D11" s="142"/>
      <c r="E11" s="142"/>
      <c r="F11" s="142"/>
      <c r="G11"/>
      <c r="H11"/>
      <c r="I11"/>
      <c r="J11"/>
      <c r="K11"/>
      <c r="L11"/>
      <c r="M11"/>
      <c r="N11"/>
      <c r="O11"/>
    </row>
    <row r="12" spans="2:17" ht="15" customHeight="1" x14ac:dyDescent="0.25">
      <c r="B12" s="142"/>
      <c r="C12" s="142"/>
      <c r="D12" s="142"/>
      <c r="E12" s="142"/>
      <c r="F12" s="142"/>
      <c r="G12"/>
      <c r="H12"/>
      <c r="I12"/>
      <c r="J12"/>
      <c r="K12"/>
      <c r="L12"/>
      <c r="M12"/>
      <c r="N12"/>
      <c r="O12"/>
    </row>
    <row r="13" spans="2:17" ht="15" customHeight="1" x14ac:dyDescent="0.25">
      <c r="B13" s="143">
        <f>Demanda_F_Ponta!O3</f>
        <v>372</v>
      </c>
      <c r="C13" s="143"/>
      <c r="D13" s="143"/>
      <c r="E13" s="143"/>
      <c r="F13" s="143"/>
      <c r="G13"/>
      <c r="H13"/>
      <c r="I13"/>
      <c r="J13"/>
      <c r="K13"/>
      <c r="L13"/>
      <c r="M13"/>
      <c r="N13"/>
      <c r="O13"/>
    </row>
    <row r="14" spans="2:17" ht="15" customHeight="1" x14ac:dyDescent="0.25">
      <c r="B14" s="143"/>
      <c r="C14" s="143"/>
      <c r="D14" s="143"/>
      <c r="E14" s="143"/>
      <c r="F14" s="143"/>
      <c r="G14"/>
      <c r="H14"/>
      <c r="I14"/>
      <c r="J14"/>
      <c r="K14"/>
      <c r="L14"/>
      <c r="M14"/>
      <c r="N14"/>
      <c r="O14"/>
    </row>
    <row r="15" spans="2:17" ht="15" customHeight="1" x14ac:dyDescent="0.25">
      <c r="B15" s="143"/>
      <c r="C15" s="143"/>
      <c r="D15" s="143"/>
      <c r="E15" s="143"/>
      <c r="F15" s="143"/>
      <c r="G15"/>
      <c r="H15"/>
      <c r="I15"/>
      <c r="J15"/>
      <c r="K15"/>
      <c r="L15"/>
      <c r="M15"/>
      <c r="N15"/>
      <c r="O15"/>
    </row>
    <row r="16" spans="2:17" ht="8.25" customHeight="1" x14ac:dyDescent="0.25"/>
    <row r="17" spans="2:15" x14ac:dyDescent="0.25">
      <c r="B17" s="99" t="s">
        <v>38</v>
      </c>
      <c r="C17" s="100"/>
      <c r="D17" s="100"/>
      <c r="E17" s="100"/>
      <c r="F17" s="101"/>
      <c r="G17"/>
      <c r="H17"/>
      <c r="I17"/>
      <c r="J17"/>
      <c r="K17"/>
      <c r="L17"/>
      <c r="M17"/>
      <c r="N17"/>
      <c r="O17"/>
    </row>
    <row r="18" spans="2:15" s="3" customFormat="1" ht="15.75" x14ac:dyDescent="0.25">
      <c r="B18" s="102"/>
      <c r="C18" s="103"/>
      <c r="D18" s="103"/>
      <c r="E18" s="103"/>
      <c r="F18" s="104"/>
    </row>
    <row r="19" spans="2:15" x14ac:dyDescent="0.25">
      <c r="B19" s="105"/>
      <c r="C19" s="106"/>
      <c r="D19" s="106"/>
      <c r="E19" s="106"/>
      <c r="F19" s="107"/>
      <c r="G19"/>
      <c r="H19"/>
      <c r="I19"/>
      <c r="J19"/>
      <c r="K19"/>
      <c r="L19"/>
      <c r="M19"/>
      <c r="N19"/>
      <c r="O19"/>
    </row>
    <row r="20" spans="2:15" x14ac:dyDescent="0.25">
      <c r="B20" s="144">
        <f>Demanda_F_Ponta!O19</f>
        <v>89127.053859312</v>
      </c>
      <c r="C20" s="145"/>
      <c r="D20" s="145"/>
      <c r="E20" s="145"/>
      <c r="F20" s="146"/>
      <c r="G20"/>
      <c r="H20"/>
      <c r="I20"/>
      <c r="J20"/>
      <c r="K20"/>
      <c r="L20"/>
      <c r="M20"/>
      <c r="N20"/>
      <c r="O20"/>
    </row>
    <row r="21" spans="2:15" x14ac:dyDescent="0.25">
      <c r="B21" s="147"/>
      <c r="C21" s="148"/>
      <c r="D21" s="148"/>
      <c r="E21" s="148"/>
      <c r="F21" s="149"/>
      <c r="G21"/>
      <c r="H21"/>
      <c r="I21"/>
      <c r="J21"/>
      <c r="K21"/>
      <c r="L21"/>
      <c r="M21"/>
      <c r="N21"/>
      <c r="O21"/>
    </row>
    <row r="22" spans="2:15" x14ac:dyDescent="0.25">
      <c r="B22" s="150"/>
      <c r="C22" s="151"/>
      <c r="D22" s="151"/>
      <c r="E22" s="151"/>
      <c r="F22" s="152"/>
      <c r="G22"/>
      <c r="H22"/>
      <c r="I22"/>
      <c r="J22"/>
      <c r="K22"/>
      <c r="L22"/>
      <c r="M22"/>
      <c r="N22"/>
      <c r="O22"/>
    </row>
    <row r="23" spans="2:15" x14ac:dyDescent="0.25">
      <c r="G23"/>
      <c r="H23"/>
      <c r="I23"/>
      <c r="J23"/>
      <c r="K23"/>
      <c r="L23"/>
      <c r="M23"/>
      <c r="N23"/>
      <c r="O23"/>
    </row>
    <row r="24" spans="2:15" x14ac:dyDescent="0.25">
      <c r="G24"/>
      <c r="H24"/>
      <c r="I24"/>
      <c r="J24"/>
      <c r="K24"/>
      <c r="L24"/>
      <c r="M24"/>
      <c r="N24"/>
      <c r="O24"/>
    </row>
    <row r="25" spans="2:15" x14ac:dyDescent="0.25">
      <c r="B25" s="109" t="s">
        <v>48</v>
      </c>
      <c r="C25" s="110"/>
      <c r="D25" s="110"/>
      <c r="E25" s="110"/>
      <c r="F25" s="110"/>
      <c r="G25"/>
      <c r="H25"/>
      <c r="I25"/>
      <c r="J25"/>
      <c r="K25"/>
      <c r="L25"/>
      <c r="M25"/>
      <c r="N25"/>
      <c r="O25"/>
    </row>
    <row r="26" spans="2:15" x14ac:dyDescent="0.25">
      <c r="B26" s="110"/>
      <c r="C26" s="110"/>
      <c r="D26" s="110"/>
      <c r="E26" s="110"/>
      <c r="F26" s="110"/>
      <c r="G26"/>
      <c r="H26"/>
      <c r="I26"/>
      <c r="J26"/>
      <c r="K26"/>
      <c r="L26"/>
      <c r="M26"/>
      <c r="N26"/>
      <c r="O26"/>
    </row>
    <row r="27" spans="2:15" x14ac:dyDescent="0.25">
      <c r="B27" s="110"/>
      <c r="C27" s="110"/>
      <c r="D27" s="110"/>
      <c r="E27" s="110"/>
      <c r="F27" s="110"/>
      <c r="G27"/>
      <c r="H27"/>
      <c r="I27"/>
      <c r="J27"/>
      <c r="K27"/>
      <c r="L27"/>
      <c r="M27"/>
      <c r="N27"/>
      <c r="O27"/>
    </row>
    <row r="28" spans="2:15" x14ac:dyDescent="0.25">
      <c r="B28" s="138">
        <v>345</v>
      </c>
      <c r="C28" s="138"/>
      <c r="D28" s="138"/>
      <c r="E28" s="138"/>
      <c r="F28" s="138"/>
      <c r="G28"/>
      <c r="H28"/>
      <c r="I28"/>
      <c r="J28"/>
      <c r="K28"/>
      <c r="L28"/>
      <c r="M28"/>
      <c r="N28"/>
      <c r="O28"/>
    </row>
    <row r="29" spans="2:15" x14ac:dyDescent="0.25">
      <c r="B29" s="138"/>
      <c r="C29" s="138"/>
      <c r="D29" s="138"/>
      <c r="E29" s="138"/>
      <c r="F29" s="138"/>
      <c r="G29"/>
      <c r="H29"/>
      <c r="I29"/>
      <c r="J29"/>
      <c r="K29"/>
      <c r="L29"/>
      <c r="M29"/>
      <c r="N29"/>
      <c r="O29"/>
    </row>
    <row r="30" spans="2:15" x14ac:dyDescent="0.25">
      <c r="B30" s="138"/>
      <c r="C30" s="138"/>
      <c r="D30" s="138"/>
      <c r="E30" s="138"/>
      <c r="F30" s="138"/>
      <c r="G30"/>
      <c r="H30"/>
      <c r="I30"/>
      <c r="J30"/>
      <c r="K30"/>
      <c r="L30"/>
      <c r="M30"/>
      <c r="N30"/>
      <c r="O30"/>
    </row>
    <row r="31" spans="2:15" ht="8.25" customHeight="1" x14ac:dyDescent="0.25"/>
    <row r="32" spans="2:15" x14ac:dyDescent="0.25">
      <c r="B32" s="142" t="s">
        <v>38</v>
      </c>
      <c r="C32" s="168"/>
      <c r="D32" s="168"/>
      <c r="E32" s="168"/>
      <c r="F32" s="168"/>
      <c r="G32"/>
      <c r="H32"/>
      <c r="I32"/>
      <c r="J32"/>
      <c r="K32"/>
      <c r="L32"/>
      <c r="M32"/>
      <c r="N32"/>
      <c r="O32"/>
    </row>
    <row r="33" spans="2:15" x14ac:dyDescent="0.25">
      <c r="B33" s="168"/>
      <c r="C33" s="168"/>
      <c r="D33" s="168"/>
      <c r="E33" s="168"/>
      <c r="F33" s="168"/>
      <c r="G33"/>
      <c r="H33"/>
      <c r="I33"/>
      <c r="J33"/>
      <c r="K33"/>
      <c r="L33"/>
      <c r="M33"/>
      <c r="N33"/>
      <c r="O33"/>
    </row>
    <row r="34" spans="2:15" x14ac:dyDescent="0.25">
      <c r="B34" s="168"/>
      <c r="C34" s="168"/>
      <c r="D34" s="168"/>
      <c r="E34" s="168"/>
      <c r="F34" s="168"/>
      <c r="G34"/>
      <c r="H34"/>
      <c r="I34"/>
      <c r="J34"/>
      <c r="K34"/>
      <c r="L34"/>
      <c r="M34"/>
      <c r="N34"/>
      <c r="O34"/>
    </row>
    <row r="35" spans="2:15" x14ac:dyDescent="0.25">
      <c r="B35" s="135">
        <f>Demanda_F_Ponta!O35</f>
        <v>83851.451304672009</v>
      </c>
      <c r="C35" s="136"/>
      <c r="D35" s="136"/>
      <c r="E35" s="136"/>
      <c r="F35" s="136"/>
      <c r="G35"/>
      <c r="H35"/>
      <c r="I35"/>
      <c r="J35"/>
      <c r="K35"/>
      <c r="L35"/>
      <c r="M35"/>
      <c r="N35"/>
      <c r="O35"/>
    </row>
    <row r="36" spans="2:15" x14ac:dyDescent="0.25">
      <c r="B36" s="136"/>
      <c r="C36" s="136"/>
      <c r="D36" s="136"/>
      <c r="E36" s="136"/>
      <c r="F36" s="136"/>
      <c r="G36"/>
      <c r="H36"/>
      <c r="I36"/>
      <c r="J36"/>
      <c r="K36"/>
      <c r="L36"/>
      <c r="M36"/>
      <c r="N36"/>
      <c r="O36"/>
    </row>
    <row r="37" spans="2:15" x14ac:dyDescent="0.25">
      <c r="B37" s="136"/>
      <c r="C37" s="136"/>
      <c r="D37" s="136"/>
      <c r="E37" s="136"/>
      <c r="F37" s="136"/>
      <c r="G37"/>
      <c r="H37"/>
      <c r="I37"/>
      <c r="J37"/>
      <c r="K37"/>
      <c r="L37"/>
      <c r="M37"/>
      <c r="N37"/>
      <c r="O37"/>
    </row>
    <row r="38" spans="2:15" ht="8.25" customHeight="1" x14ac:dyDescent="0.25"/>
    <row r="39" spans="2:15" ht="15" customHeight="1" x14ac:dyDescent="0.25">
      <c r="B39" s="142" t="s">
        <v>44</v>
      </c>
      <c r="C39" s="168"/>
      <c r="D39" s="168"/>
      <c r="E39" s="168"/>
      <c r="F39" s="168"/>
      <c r="G39"/>
      <c r="H39"/>
      <c r="I39"/>
      <c r="J39"/>
      <c r="K39"/>
      <c r="L39"/>
      <c r="M39"/>
      <c r="N39"/>
      <c r="O39"/>
    </row>
    <row r="40" spans="2:15" s="3" customFormat="1" ht="15.75" customHeight="1" x14ac:dyDescent="0.25">
      <c r="B40" s="168"/>
      <c r="C40" s="168"/>
      <c r="D40" s="168"/>
      <c r="E40" s="168"/>
      <c r="F40" s="168"/>
    </row>
    <row r="41" spans="2:15" ht="15" customHeight="1" x14ac:dyDescent="0.25">
      <c r="B41" s="168"/>
      <c r="C41" s="168"/>
      <c r="D41" s="168"/>
      <c r="E41" s="168"/>
      <c r="F41" s="168"/>
    </row>
    <row r="42" spans="2:15" x14ac:dyDescent="0.25">
      <c r="B42" s="137">
        <f>B20-B35</f>
        <v>5275.6025546399906</v>
      </c>
      <c r="C42" s="137"/>
      <c r="D42" s="137"/>
      <c r="E42" s="137"/>
      <c r="F42" s="137"/>
    </row>
    <row r="43" spans="2:15" x14ac:dyDescent="0.25">
      <c r="B43" s="137"/>
      <c r="C43" s="137"/>
      <c r="D43" s="137"/>
      <c r="E43" s="137"/>
      <c r="F43" s="137"/>
    </row>
    <row r="44" spans="2:15" x14ac:dyDescent="0.25">
      <c r="B44" s="137"/>
      <c r="C44" s="137"/>
      <c r="D44" s="137"/>
      <c r="E44" s="137"/>
      <c r="F44" s="137"/>
    </row>
    <row r="46" spans="2:15" x14ac:dyDescent="0.25">
      <c r="D46" s="12"/>
    </row>
  </sheetData>
  <sheetProtection sheet="1" objects="1" scenarios="1"/>
  <mergeCells count="17">
    <mergeCell ref="B28:F30"/>
    <mergeCell ref="B32:F34"/>
    <mergeCell ref="B35:F37"/>
    <mergeCell ref="B39:F41"/>
    <mergeCell ref="B42:F44"/>
    <mergeCell ref="B1:Q1"/>
    <mergeCell ref="B3:F5"/>
    <mergeCell ref="B10:F12"/>
    <mergeCell ref="B13:F15"/>
    <mergeCell ref="B25:F27"/>
    <mergeCell ref="B17:F19"/>
    <mergeCell ref="B20:F22"/>
    <mergeCell ref="B6:B8"/>
    <mergeCell ref="C6:C8"/>
    <mergeCell ref="D6:D8"/>
    <mergeCell ref="E6:E8"/>
    <mergeCell ref="F6:F8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A06B-E209-4247-825B-518EA6D7D50F}">
  <sheetPr>
    <tabColor theme="6" tint="0.39997558519241921"/>
  </sheetPr>
  <dimension ref="B1:W18"/>
  <sheetViews>
    <sheetView zoomScaleNormal="100" workbookViewId="0">
      <selection activeCell="N30" sqref="N30"/>
    </sheetView>
  </sheetViews>
  <sheetFormatPr defaultRowHeight="15" x14ac:dyDescent="0.25"/>
  <cols>
    <col min="1" max="1" width="3.42578125" customWidth="1"/>
    <col min="2" max="2" width="4.28515625" bestFit="1" customWidth="1"/>
    <col min="3" max="8" width="10.140625" customWidth="1"/>
    <col min="9" max="9" width="9.85546875" customWidth="1"/>
    <col min="10" max="11" width="10.28515625" customWidth="1"/>
    <col min="12" max="19" width="10.7109375" customWidth="1"/>
    <col min="20" max="20" width="14" bestFit="1" customWidth="1"/>
    <col min="22" max="22" width="9.5703125" bestFit="1" customWidth="1"/>
    <col min="23" max="23" width="14" bestFit="1" customWidth="1"/>
  </cols>
  <sheetData>
    <row r="1" spans="2:23" ht="10.5" customHeight="1" x14ac:dyDescent="0.25"/>
    <row r="2" spans="2:23" ht="20.25" x14ac:dyDescent="0.25">
      <c r="B2" s="86" t="s">
        <v>53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</row>
    <row r="3" spans="2:23" ht="29.25" customHeight="1" x14ac:dyDescent="0.25">
      <c r="B3" s="89" t="s">
        <v>52</v>
      </c>
      <c r="C3" s="90"/>
      <c r="D3" s="90"/>
      <c r="E3" s="90"/>
      <c r="F3" s="90"/>
      <c r="G3" s="90"/>
      <c r="H3" s="90"/>
      <c r="I3" s="90"/>
      <c r="J3" s="90"/>
      <c r="K3" s="90"/>
      <c r="L3" s="91"/>
      <c r="M3" s="30" t="s">
        <v>46</v>
      </c>
      <c r="N3" s="31" t="str">
        <f>Demanda_Ponta!H3</f>
        <v>out</v>
      </c>
      <c r="O3" s="32">
        <f>Demanda_Ponta!I3</f>
        <v>2025</v>
      </c>
      <c r="P3" s="11" t="s">
        <v>47</v>
      </c>
      <c r="Q3" s="31" t="str">
        <f>Demanda_Ponta!K3</f>
        <v>set</v>
      </c>
      <c r="R3" s="33">
        <f>Demanda_Ponta!L3</f>
        <v>2026</v>
      </c>
      <c r="T3" s="1"/>
    </row>
    <row r="4" spans="2:23" ht="6.75" customHeight="1" x14ac:dyDescent="0.25">
      <c r="B4" s="34"/>
      <c r="T4" s="35"/>
      <c r="W4" s="35"/>
    </row>
    <row r="5" spans="2:23" ht="48" x14ac:dyDescent="0.25">
      <c r="B5" s="36" t="s">
        <v>29</v>
      </c>
      <c r="C5" s="37" t="s">
        <v>54</v>
      </c>
      <c r="D5" s="37" t="s">
        <v>57</v>
      </c>
      <c r="E5" s="37" t="s">
        <v>60</v>
      </c>
      <c r="F5" s="37" t="s">
        <v>55</v>
      </c>
      <c r="G5" s="37" t="s">
        <v>58</v>
      </c>
      <c r="H5" s="37" t="s">
        <v>61</v>
      </c>
      <c r="I5" s="37" t="s">
        <v>56</v>
      </c>
      <c r="J5" s="37" t="s">
        <v>59</v>
      </c>
      <c r="K5" s="37" t="s">
        <v>62</v>
      </c>
      <c r="L5" s="4" t="s">
        <v>12</v>
      </c>
      <c r="M5" s="5" t="s">
        <v>9</v>
      </c>
      <c r="N5" s="5" t="s">
        <v>10</v>
      </c>
      <c r="O5" s="4" t="s">
        <v>11</v>
      </c>
      <c r="P5" s="5" t="s">
        <v>7</v>
      </c>
      <c r="Q5" s="5" t="s">
        <v>8</v>
      </c>
      <c r="R5" s="38" t="s">
        <v>63</v>
      </c>
    </row>
    <row r="6" spans="2:23" x14ac:dyDescent="0.25">
      <c r="B6" s="39" t="str">
        <f>Demanda_Ponta!B7</f>
        <v>out</v>
      </c>
      <c r="C6" s="27">
        <v>0</v>
      </c>
      <c r="D6" s="40">
        <f>Demanda_Ponta!G7</f>
        <v>37.996200000000002</v>
      </c>
      <c r="E6" s="40">
        <f>C6*D6</f>
        <v>0</v>
      </c>
      <c r="F6" s="13">
        <v>0</v>
      </c>
      <c r="G6" s="41">
        <f>Demanda_F_Ponta!G7</f>
        <v>22.097429999999999</v>
      </c>
      <c r="H6" s="41">
        <f>F6*G6</f>
        <v>0</v>
      </c>
      <c r="I6" s="48">
        <v>0</v>
      </c>
      <c r="J6" s="40">
        <f>G6</f>
        <v>22.097429999999999</v>
      </c>
      <c r="K6" s="40">
        <f>I6*J6</f>
        <v>0</v>
      </c>
      <c r="L6" s="13">
        <v>0</v>
      </c>
      <c r="M6" s="14">
        <v>0</v>
      </c>
      <c r="N6" s="42">
        <f t="shared" ref="N6:N17" si="0">L6*M6</f>
        <v>0</v>
      </c>
      <c r="O6" s="28">
        <v>0</v>
      </c>
      <c r="P6" s="29">
        <v>0</v>
      </c>
      <c r="Q6" s="19">
        <f t="shared" ref="Q6:Q17" si="1">O6*P6</f>
        <v>0</v>
      </c>
      <c r="R6" s="43">
        <f>E6+H6+K6+N6+Q6</f>
        <v>0</v>
      </c>
    </row>
    <row r="7" spans="2:23" x14ac:dyDescent="0.25">
      <c r="B7" s="39" t="str">
        <f>Demanda_Ponta!B8</f>
        <v>nov</v>
      </c>
      <c r="C7" s="27">
        <v>0</v>
      </c>
      <c r="D7" s="40">
        <f>Demanda_Ponta!G8</f>
        <v>37.984050000000003</v>
      </c>
      <c r="E7" s="40">
        <f t="shared" ref="E7:E17" si="2">C7*D7</f>
        <v>0</v>
      </c>
      <c r="F7" s="13">
        <v>0</v>
      </c>
      <c r="G7" s="41">
        <f>Demanda_F_Ponta!G8</f>
        <v>22.090350000000001</v>
      </c>
      <c r="H7" s="41">
        <f t="shared" ref="H7:H17" si="3">F7*G7</f>
        <v>0</v>
      </c>
      <c r="I7" s="48">
        <v>0</v>
      </c>
      <c r="J7" s="40">
        <f t="shared" ref="J7:J17" si="4">G7</f>
        <v>22.090350000000001</v>
      </c>
      <c r="K7" s="40">
        <f t="shared" ref="K7:K17" si="5">I7*J7</f>
        <v>0</v>
      </c>
      <c r="L7" s="13">
        <v>0</v>
      </c>
      <c r="M7" s="14">
        <v>0</v>
      </c>
      <c r="N7" s="42">
        <f t="shared" si="0"/>
        <v>0</v>
      </c>
      <c r="O7" s="28">
        <v>0</v>
      </c>
      <c r="P7" s="29">
        <v>0</v>
      </c>
      <c r="Q7" s="19">
        <f t="shared" si="1"/>
        <v>0</v>
      </c>
      <c r="R7" s="43">
        <f t="shared" ref="R7:R17" si="6">E7+H7+K7+N7+Q7</f>
        <v>0</v>
      </c>
    </row>
    <row r="8" spans="2:23" x14ac:dyDescent="0.25">
      <c r="B8" s="39" t="str">
        <f>Demanda_Ponta!B9</f>
        <v>dez</v>
      </c>
      <c r="C8" s="27">
        <v>0</v>
      </c>
      <c r="D8" s="40">
        <f>Demanda_Ponta!G9</f>
        <v>37.955779999999997</v>
      </c>
      <c r="E8" s="40">
        <f t="shared" si="2"/>
        <v>0</v>
      </c>
      <c r="F8" s="13">
        <v>0</v>
      </c>
      <c r="G8" s="41">
        <f>Demanda_F_Ponta!G9</f>
        <v>22.07396</v>
      </c>
      <c r="H8" s="41">
        <f t="shared" si="3"/>
        <v>0</v>
      </c>
      <c r="I8" s="48">
        <v>0</v>
      </c>
      <c r="J8" s="40">
        <f t="shared" si="4"/>
        <v>22.07396</v>
      </c>
      <c r="K8" s="40">
        <f t="shared" si="5"/>
        <v>0</v>
      </c>
      <c r="L8" s="13">
        <v>16.8</v>
      </c>
      <c r="M8" s="14">
        <v>0.37797999999999998</v>
      </c>
      <c r="N8" s="42">
        <f t="shared" si="0"/>
        <v>6.3500639999999997</v>
      </c>
      <c r="O8" s="28">
        <v>631.04999999999995</v>
      </c>
      <c r="P8" s="29">
        <v>0.37919000000000003</v>
      </c>
      <c r="Q8" s="19">
        <f t="shared" si="1"/>
        <v>239.28784949999999</v>
      </c>
      <c r="R8" s="43">
        <f t="shared" si="6"/>
        <v>245.6379135</v>
      </c>
    </row>
    <row r="9" spans="2:23" x14ac:dyDescent="0.25">
      <c r="B9" s="39" t="str">
        <f>Demanda_Ponta!B10</f>
        <v>jan</v>
      </c>
      <c r="C9" s="27">
        <v>0</v>
      </c>
      <c r="D9" s="40">
        <f>Demanda_Ponta!G10</f>
        <v>37.572690000000001</v>
      </c>
      <c r="E9" s="40">
        <f t="shared" si="2"/>
        <v>0</v>
      </c>
      <c r="F9" s="13">
        <v>0</v>
      </c>
      <c r="G9" s="41">
        <f>Demanda_F_Ponta!G10</f>
        <v>21.851150000000001</v>
      </c>
      <c r="H9" s="41">
        <f t="shared" si="3"/>
        <v>0</v>
      </c>
      <c r="I9" s="48">
        <v>0</v>
      </c>
      <c r="J9" s="40">
        <f t="shared" si="4"/>
        <v>21.851150000000001</v>
      </c>
      <c r="K9" s="40">
        <f t="shared" si="5"/>
        <v>0</v>
      </c>
      <c r="L9" s="13">
        <v>8.82</v>
      </c>
      <c r="M9" s="14">
        <v>0.37302000000000002</v>
      </c>
      <c r="N9" s="42">
        <f t="shared" si="0"/>
        <v>3.2900364000000004</v>
      </c>
      <c r="O9" s="28">
        <v>580.44000000000005</v>
      </c>
      <c r="P9" s="29">
        <v>0.37534000000000001</v>
      </c>
      <c r="Q9" s="19">
        <f t="shared" si="1"/>
        <v>217.86234960000002</v>
      </c>
      <c r="R9" s="43">
        <f t="shared" si="6"/>
        <v>221.15238600000001</v>
      </c>
    </row>
    <row r="10" spans="2:23" x14ac:dyDescent="0.25">
      <c r="B10" s="39" t="str">
        <f>Demanda_Ponta!B11</f>
        <v>fev</v>
      </c>
      <c r="C10" s="27">
        <v>0</v>
      </c>
      <c r="D10" s="40">
        <f>Demanda_Ponta!G11</f>
        <v>38.036630000000002</v>
      </c>
      <c r="E10" s="40">
        <f t="shared" si="2"/>
        <v>0</v>
      </c>
      <c r="F10" s="13">
        <v>0</v>
      </c>
      <c r="G10" s="41">
        <f>Demanda_F_Ponta!G11</f>
        <v>22.120940000000001</v>
      </c>
      <c r="H10" s="41">
        <f t="shared" si="3"/>
        <v>0</v>
      </c>
      <c r="I10" s="48">
        <v>0</v>
      </c>
      <c r="J10" s="40">
        <f t="shared" si="4"/>
        <v>22.120940000000001</v>
      </c>
      <c r="K10" s="40">
        <f t="shared" si="5"/>
        <v>0</v>
      </c>
      <c r="L10" s="13">
        <v>24.78</v>
      </c>
      <c r="M10" s="14">
        <v>0.37934000000000001</v>
      </c>
      <c r="N10" s="42">
        <f t="shared" si="0"/>
        <v>9.400045200000001</v>
      </c>
      <c r="O10" s="28">
        <v>759.78</v>
      </c>
      <c r="P10" s="29">
        <v>0.37998999999999999</v>
      </c>
      <c r="Q10" s="19">
        <f t="shared" si="1"/>
        <v>288.70880219999998</v>
      </c>
      <c r="R10" s="43">
        <f t="shared" si="6"/>
        <v>298.1088474</v>
      </c>
    </row>
    <row r="11" spans="2:23" x14ac:dyDescent="0.25">
      <c r="B11" s="39" t="str">
        <f>Demanda_Ponta!B12</f>
        <v>mar</v>
      </c>
      <c r="C11" s="27">
        <v>0</v>
      </c>
      <c r="D11" s="40">
        <f>Demanda_Ponta!G12</f>
        <v>37.596359999999997</v>
      </c>
      <c r="E11" s="40">
        <f t="shared" si="2"/>
        <v>0</v>
      </c>
      <c r="F11" s="13">
        <v>0</v>
      </c>
      <c r="G11" s="41">
        <f>Demanda_F_Ponta!G12</f>
        <v>21.864889999999999</v>
      </c>
      <c r="H11" s="41">
        <f t="shared" si="3"/>
        <v>0</v>
      </c>
      <c r="I11" s="48">
        <v>0</v>
      </c>
      <c r="J11" s="40">
        <f t="shared" si="4"/>
        <v>21.864889999999999</v>
      </c>
      <c r="K11" s="40">
        <f t="shared" si="5"/>
        <v>0</v>
      </c>
      <c r="L11" s="13">
        <v>11.76</v>
      </c>
      <c r="M11" s="14">
        <v>0.37414999999999998</v>
      </c>
      <c r="N11" s="42">
        <f t="shared" si="0"/>
        <v>4.400004</v>
      </c>
      <c r="O11" s="28">
        <v>496.86</v>
      </c>
      <c r="P11" s="29">
        <v>0.37559999999999999</v>
      </c>
      <c r="Q11" s="19">
        <f t="shared" si="1"/>
        <v>186.62061600000001</v>
      </c>
      <c r="R11" s="43">
        <f t="shared" si="6"/>
        <v>191.02062000000001</v>
      </c>
    </row>
    <row r="12" spans="2:23" x14ac:dyDescent="0.25">
      <c r="B12" s="39" t="str">
        <f>Demanda_Ponta!B13</f>
        <v>abr</v>
      </c>
      <c r="C12" s="27">
        <v>0</v>
      </c>
      <c r="D12" s="40">
        <f>Demanda_Ponta!G13</f>
        <v>37.564790000000002</v>
      </c>
      <c r="E12" s="40">
        <f t="shared" si="2"/>
        <v>0</v>
      </c>
      <c r="F12" s="13">
        <v>0</v>
      </c>
      <c r="G12" s="41">
        <f>Demanda_F_Ponta!G13</f>
        <v>21.846509999999999</v>
      </c>
      <c r="H12" s="41">
        <f t="shared" si="3"/>
        <v>0</v>
      </c>
      <c r="I12" s="48">
        <v>0</v>
      </c>
      <c r="J12" s="40">
        <f t="shared" si="4"/>
        <v>21.846509999999999</v>
      </c>
      <c r="K12" s="40">
        <f t="shared" si="5"/>
        <v>0</v>
      </c>
      <c r="L12" s="13">
        <v>19.11</v>
      </c>
      <c r="M12" s="14">
        <v>0.37414999999999998</v>
      </c>
      <c r="N12" s="42">
        <f t="shared" si="0"/>
        <v>7.150006499999999</v>
      </c>
      <c r="O12" s="28">
        <v>550.62</v>
      </c>
      <c r="P12" s="29">
        <v>0.37526999999999999</v>
      </c>
      <c r="Q12" s="19">
        <f t="shared" si="1"/>
        <v>206.63116740000001</v>
      </c>
      <c r="R12" s="43">
        <f t="shared" si="6"/>
        <v>213.7811739</v>
      </c>
    </row>
    <row r="13" spans="2:23" x14ac:dyDescent="0.25">
      <c r="B13" s="39" t="str">
        <f>Demanda_Ponta!B14</f>
        <v>mai</v>
      </c>
      <c r="C13" s="27">
        <v>0</v>
      </c>
      <c r="D13" s="40">
        <f>Demanda_Ponta!G14</f>
        <v>38.13402</v>
      </c>
      <c r="E13" s="40">
        <f t="shared" si="2"/>
        <v>0</v>
      </c>
      <c r="F13" s="13">
        <v>0</v>
      </c>
      <c r="G13" s="41">
        <f>Demanda_F_Ponta!G14</f>
        <v>22.177610000000001</v>
      </c>
      <c r="H13" s="41">
        <f t="shared" si="3"/>
        <v>0</v>
      </c>
      <c r="I13" s="48">
        <v>0</v>
      </c>
      <c r="J13" s="40">
        <f t="shared" si="4"/>
        <v>22.177610000000001</v>
      </c>
      <c r="K13" s="40">
        <f t="shared" si="5"/>
        <v>0</v>
      </c>
      <c r="L13" s="13">
        <v>14.7</v>
      </c>
      <c r="M13" s="14">
        <v>0.37958999999999998</v>
      </c>
      <c r="N13" s="42">
        <f t="shared" si="0"/>
        <v>5.5799729999999998</v>
      </c>
      <c r="O13" s="28">
        <v>615.09</v>
      </c>
      <c r="P13" s="29">
        <v>0.38097999999999999</v>
      </c>
      <c r="Q13" s="19">
        <f t="shared" si="1"/>
        <v>234.33698820000001</v>
      </c>
      <c r="R13" s="43">
        <f t="shared" si="6"/>
        <v>239.9169612</v>
      </c>
    </row>
    <row r="14" spans="2:23" x14ac:dyDescent="0.25">
      <c r="B14" s="39" t="str">
        <f>Demanda_Ponta!B15</f>
        <v>jun</v>
      </c>
      <c r="C14" s="27">
        <v>0</v>
      </c>
      <c r="D14" s="40">
        <f>Demanda_Ponta!G15</f>
        <v>37.360500000000002</v>
      </c>
      <c r="E14" s="40">
        <f t="shared" si="2"/>
        <v>0</v>
      </c>
      <c r="F14" s="13">
        <v>0</v>
      </c>
      <c r="G14" s="41">
        <f>Demanda_F_Ponta!G15</f>
        <v>21.727740000000001</v>
      </c>
      <c r="H14" s="41">
        <f t="shared" si="3"/>
        <v>0</v>
      </c>
      <c r="I14" s="48">
        <v>0</v>
      </c>
      <c r="J14" s="40">
        <f t="shared" si="4"/>
        <v>21.727740000000001</v>
      </c>
      <c r="K14" s="40">
        <f t="shared" si="5"/>
        <v>0</v>
      </c>
      <c r="L14" s="13">
        <v>0</v>
      </c>
      <c r="M14" s="14">
        <v>0</v>
      </c>
      <c r="N14" s="42">
        <f t="shared" si="0"/>
        <v>0</v>
      </c>
      <c r="O14" s="28">
        <v>0.21</v>
      </c>
      <c r="P14" s="29">
        <v>0.33333000000000002</v>
      </c>
      <c r="Q14" s="19">
        <f t="shared" si="1"/>
        <v>6.99993E-2</v>
      </c>
      <c r="R14" s="43">
        <f t="shared" si="6"/>
        <v>6.99993E-2</v>
      </c>
    </row>
    <row r="15" spans="2:23" x14ac:dyDescent="0.25">
      <c r="B15" s="39" t="str">
        <f>Demanda_Ponta!B16</f>
        <v>jul</v>
      </c>
      <c r="C15" s="27">
        <v>0</v>
      </c>
      <c r="D15" s="40">
        <f>Demanda_Ponta!G16</f>
        <v>40.516889999999997</v>
      </c>
      <c r="E15" s="40">
        <f t="shared" si="2"/>
        <v>0</v>
      </c>
      <c r="F15" s="13">
        <v>0</v>
      </c>
      <c r="G15" s="41">
        <f>Demanda_F_Ponta!G16</f>
        <v>24.231359999999999</v>
      </c>
      <c r="H15" s="41">
        <f t="shared" si="3"/>
        <v>0</v>
      </c>
      <c r="I15" s="48">
        <v>0</v>
      </c>
      <c r="J15" s="40">
        <f t="shared" si="4"/>
        <v>24.231359999999999</v>
      </c>
      <c r="K15" s="40">
        <f t="shared" si="5"/>
        <v>0</v>
      </c>
      <c r="L15" s="13">
        <v>0</v>
      </c>
      <c r="M15" s="14">
        <v>0</v>
      </c>
      <c r="N15" s="42">
        <f t="shared" si="0"/>
        <v>0</v>
      </c>
      <c r="O15" s="28">
        <v>0</v>
      </c>
      <c r="P15" s="29">
        <v>0</v>
      </c>
      <c r="Q15" s="19">
        <f t="shared" si="1"/>
        <v>0</v>
      </c>
      <c r="R15" s="43">
        <f t="shared" si="6"/>
        <v>0</v>
      </c>
    </row>
    <row r="16" spans="2:23" x14ac:dyDescent="0.25">
      <c r="B16" s="39" t="str">
        <f>Demanda_Ponta!B17</f>
        <v>ago</v>
      </c>
      <c r="C16" s="27">
        <v>0</v>
      </c>
      <c r="D16" s="40">
        <f>Demanda_Ponta!G17</f>
        <v>20.45393</v>
      </c>
      <c r="E16" s="40">
        <f t="shared" si="2"/>
        <v>0</v>
      </c>
      <c r="F16" s="13">
        <v>0</v>
      </c>
      <c r="G16" s="41">
        <f>Demanda_F_Ponta!G17</f>
        <v>12.265890000000001</v>
      </c>
      <c r="H16" s="41">
        <f t="shared" si="3"/>
        <v>0</v>
      </c>
      <c r="I16" s="48">
        <v>0</v>
      </c>
      <c r="J16" s="40">
        <f t="shared" si="4"/>
        <v>12.265890000000001</v>
      </c>
      <c r="K16" s="40">
        <f t="shared" si="5"/>
        <v>0</v>
      </c>
      <c r="L16" s="13">
        <v>0</v>
      </c>
      <c r="M16" s="14">
        <v>0</v>
      </c>
      <c r="N16" s="42">
        <f t="shared" si="0"/>
        <v>0</v>
      </c>
      <c r="O16" s="28">
        <v>4.41</v>
      </c>
      <c r="P16" s="29">
        <v>0.40362999999999999</v>
      </c>
      <c r="Q16" s="19">
        <f t="shared" si="1"/>
        <v>1.7800083</v>
      </c>
      <c r="R16" s="43">
        <f t="shared" si="6"/>
        <v>1.7800083</v>
      </c>
    </row>
    <row r="17" spans="2:18" x14ac:dyDescent="0.25">
      <c r="B17" s="39" t="str">
        <f>Demanda_Ponta!B18</f>
        <v>set</v>
      </c>
      <c r="C17" s="27">
        <v>0</v>
      </c>
      <c r="D17" s="40">
        <f>Demanda_Ponta!G18</f>
        <v>20.490770000000001</v>
      </c>
      <c r="E17" s="40">
        <f t="shared" si="2"/>
        <v>0</v>
      </c>
      <c r="F17" s="13">
        <v>0</v>
      </c>
      <c r="G17" s="41">
        <f>Demanda_F_Ponta!G18</f>
        <v>12.287929999999999</v>
      </c>
      <c r="H17" s="41">
        <f t="shared" si="3"/>
        <v>0</v>
      </c>
      <c r="I17" s="48">
        <v>0</v>
      </c>
      <c r="J17" s="40">
        <f t="shared" si="4"/>
        <v>12.287929999999999</v>
      </c>
      <c r="K17" s="40">
        <f t="shared" si="5"/>
        <v>0</v>
      </c>
      <c r="L17" s="13">
        <v>0</v>
      </c>
      <c r="M17" s="14">
        <v>0</v>
      </c>
      <c r="N17" s="42">
        <f t="shared" si="0"/>
        <v>0</v>
      </c>
      <c r="O17" s="28">
        <v>4.83</v>
      </c>
      <c r="P17" s="29">
        <v>0.40579999999999999</v>
      </c>
      <c r="Q17" s="19">
        <f t="shared" si="1"/>
        <v>1.9600139999999999</v>
      </c>
      <c r="R17" s="43">
        <f t="shared" si="6"/>
        <v>1.9600139999999999</v>
      </c>
    </row>
    <row r="18" spans="2:18" x14ac:dyDescent="0.25">
      <c r="B18" s="44"/>
      <c r="C18" s="45"/>
      <c r="D18" s="45"/>
      <c r="E18" s="45">
        <f t="shared" ref="E18:M18" si="7">SUM(E6:E17)</f>
        <v>0</v>
      </c>
      <c r="F18" s="45"/>
      <c r="G18" s="45"/>
      <c r="H18" s="45">
        <f t="shared" si="7"/>
        <v>0</v>
      </c>
      <c r="I18" s="45"/>
      <c r="J18" s="45"/>
      <c r="K18" s="45">
        <f t="shared" si="7"/>
        <v>0</v>
      </c>
      <c r="L18" s="45">
        <f t="shared" si="7"/>
        <v>95.970000000000013</v>
      </c>
      <c r="M18" s="45">
        <f t="shared" si="7"/>
        <v>2.2582299999999997</v>
      </c>
      <c r="N18" s="45">
        <f>SUM(N6:N17)</f>
        <v>36.170129100000004</v>
      </c>
      <c r="O18" s="46"/>
      <c r="P18" s="46"/>
      <c r="Q18" s="45">
        <f>SUM(Q6:Q17)</f>
        <v>1377.2577945</v>
      </c>
      <c r="R18" s="47">
        <f>SUM(R6:R17)</f>
        <v>1413.4279236</v>
      </c>
    </row>
  </sheetData>
  <sheetProtection sheet="1" objects="1" scenarios="1"/>
  <mergeCells count="2">
    <mergeCell ref="B2:R2"/>
    <mergeCell ref="B3:L3"/>
  </mergeCells>
  <pageMargins left="0.511811024" right="0.511811024" top="0.78740157499999996" bottom="0.78740157499999996" header="0.31496062000000002" footer="0.31496062000000002"/>
  <ignoredErrors>
    <ignoredError sqref="D6:D17 G6:G17 J6:J17 E6:E17 H6:H17 K6:K17 R6:R1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Demanda_Ponta</vt:lpstr>
      <vt:lpstr>Simul_Ponta</vt:lpstr>
      <vt:lpstr>Demanda_F_Ponta</vt:lpstr>
      <vt:lpstr>Simul_F_Ponta</vt:lpstr>
      <vt:lpstr>Dem_ Reativas e UFER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mariza01rosa@gmail.com</cp:lastModifiedBy>
  <cp:revision>0</cp:revision>
  <dcterms:created xsi:type="dcterms:W3CDTF">2026-10-13T20:12:47Z</dcterms:created>
  <dcterms:modified xsi:type="dcterms:W3CDTF">2026-10-24T19:05:09Z</dcterms:modified>
  <dc:language>en-US</dc:language>
</cp:coreProperties>
</file>